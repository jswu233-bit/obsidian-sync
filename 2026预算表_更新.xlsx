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度预算" sheetId="1" r:id="rId1"/>
    <sheet name="JX 2月生活流水" sheetId="2" r:id="rId2"/>
    <sheet name="J3 2月" sheetId="3" r:id="rId3"/>
    <sheet name="季度预算 " sheetId="4" r:id="rId4"/>
    <sheet name="JX 1.11-31生活流水" sheetId="5" r:id="rId5"/>
    <sheet name="J3 1月" sheetId="6" r:id="rId6"/>
  </sheets>
  <definedNames>
    <definedName name="_xlnm._FilterDatabase" localSheetId="1" hidden="1">'JX 2月生活流水'!$A$1:$E$27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58" formatCode="m/d/yy"/>
    <numFmt numFmtId="176" formatCode="&quot;￥&quot;#,##0.00_);[Red]\(&quot;￥&quot;#,##0.00\)"/>
    <numFmt numFmtId="177" formatCode="#,##0_ "/>
    <numFmt numFmtId="178" formatCode="0_ "/>
    <numFmt numFmtId="179" formatCode="0\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6"/>
  <sheetViews>
    <sheetView workbookViewId="0" rightToLeft="0"/>
  </sheetViews>
  <sheetData>
    <row r="1">
      <c r="A1" t="str">
        <v>J3</v>
      </c>
      <c r="C1" t="str">
        <v>2026年（预算）</v>
      </c>
      <c r="E1" t="str">
        <v>2026年实际</v>
      </c>
    </row>
    <row r="2">
      <c r="A2" t="str">
        <v>一级分类</v>
      </c>
      <c r="B2" t="str">
        <v>二级分类</v>
      </c>
      <c r="C2" t="str">
        <v>每月预算</v>
      </c>
      <c r="E2" t="str">
        <v>1月</v>
      </c>
      <c r="F2" t="str">
        <v>2月</v>
      </c>
      <c r="G2" t="str">
        <v>3月</v>
      </c>
      <c r="H2" t="str">
        <v>4月</v>
      </c>
      <c r="I2" t="str">
        <v>5月</v>
      </c>
      <c r="J2" t="str">
        <v>6月</v>
      </c>
      <c r="K2" t="str">
        <v>7月</v>
      </c>
      <c r="L2" t="str">
        <v>8月</v>
      </c>
      <c r="M2" t="str">
        <v>9月</v>
      </c>
      <c r="N2" t="str">
        <v>10月</v>
      </c>
      <c r="O2" t="str">
        <v>11月</v>
      </c>
      <c r="P2" t="str">
        <v>12月</v>
      </c>
      <c r="Q2" t="str">
        <v>总计</v>
      </c>
      <c r="R2" t="str">
        <v>年度剩余</v>
      </c>
    </row>
    <row r="3">
      <c r="A3" t="str">
        <v>J3日常</v>
      </c>
      <c r="B3" t="str">
        <v>吃喝</v>
      </c>
      <c r="C3">
        <v>3000</v>
      </c>
      <c r="E3">
        <f>SUMIFS('J3 1月'!D:D,'J3 1月'!B:B,B3)</f>
        <v>3171.39</v>
      </c>
      <c r="F3">
        <f>SUMIFS('J3 2月'!D:D,'J3 2月'!B:B,B3)</f>
        <v>1122.07</v>
      </c>
      <c r="Q3">
        <f>SUM(E3:P3)</f>
        <v>4293.46</v>
      </c>
      <c r="R3">
        <f>C3*12-Q3</f>
        <v>31706.54</v>
      </c>
    </row>
    <row r="4">
      <c r="A4" t="str">
        <v>J3日常</v>
      </c>
      <c r="B4" t="str">
        <v>水电煤</v>
      </c>
      <c r="C4">
        <v>400</v>
      </c>
      <c r="E4">
        <f>SUMIFS('J3 1月'!D:D,'J3 1月'!B:B,B4)</f>
        <v>322.6</v>
      </c>
      <c r="F4">
        <f>SUMIFS('J3 2月'!D:D,'J3 2月'!B:B,B4)</f>
        <v>0</v>
      </c>
      <c r="Q4">
        <f>SUM(E4:P4)</f>
        <v>322.6</v>
      </c>
      <c r="R4">
        <f>C4*12-Q4</f>
        <v>4477.4</v>
      </c>
    </row>
    <row r="5">
      <c r="A5" t="str">
        <v>J3日常</v>
      </c>
      <c r="B5" t="str">
        <v>交通</v>
      </c>
      <c r="C5">
        <v>400</v>
      </c>
      <c r="E5">
        <f>SUMIFS('J3 1月'!D:D,'J3 1月'!B:B,B5)</f>
        <v>853.5</v>
      </c>
      <c r="F5">
        <f>SUMIFS('J3 2月'!D:D,'J3 2月'!B:B,B5)</f>
        <v>602.59</v>
      </c>
      <c r="Q5">
        <f>SUM(E5:P5)</f>
        <v>1456.09</v>
      </c>
      <c r="R5">
        <f>C5*12-Q5</f>
        <v>3343.91</v>
      </c>
    </row>
    <row r="6">
      <c r="A6" t="str">
        <v>J3大开支</v>
      </c>
      <c r="B6" t="str">
        <v>日用品</v>
      </c>
      <c r="C6">
        <v>208.333333333333</v>
      </c>
      <c r="E6">
        <f>SUMIFS('J3 1月'!D:D,'J3 1月'!B:B,B6)</f>
        <v>274.34</v>
      </c>
      <c r="F6">
        <f>SUMIFS('J3 2月'!D:D,'J3 2月'!B:B,B6)</f>
        <v>49.79</v>
      </c>
      <c r="Q6">
        <f>SUM(E6:P6)</f>
        <v>324.13</v>
      </c>
      <c r="R6">
        <f>C6*12-Q6</f>
        <v>2175.87</v>
      </c>
    </row>
    <row r="7">
      <c r="A7" t="str">
        <v>J3大开支</v>
      </c>
      <c r="B7" t="str">
        <v>化妆护肤</v>
      </c>
      <c r="C7">
        <v>250</v>
      </c>
      <c r="E7">
        <f>SUMIFS('J3 1月'!D:D,'J3 1月'!B:B,B7)</f>
        <v>2000</v>
      </c>
      <c r="F7">
        <f>SUMIFS('J3 2月'!D:D,'J3 2月'!B:B,B7)</f>
        <v>0</v>
      </c>
      <c r="Q7">
        <f>SUM(E7:P7)</f>
        <v>2000</v>
      </c>
      <c r="R7">
        <f>C7*12-Q7</f>
        <v>1000</v>
      </c>
    </row>
    <row r="8">
      <c r="A8" t="str">
        <v>J3大开支</v>
      </c>
      <c r="B8" t="str">
        <v>休闲娱乐</v>
      </c>
      <c r="C8">
        <v>83.3333333333333</v>
      </c>
      <c r="E8">
        <f>SUMIFS('J3 1月'!D:D,'J3 1月'!B:B,B8)</f>
        <v>168</v>
      </c>
      <c r="F8">
        <f>SUMIFS('J3 2月'!D:D,'J3 2月'!B:B,B8)</f>
        <v>226.2</v>
      </c>
      <c r="Q8">
        <f>SUM(E8:P8)</f>
        <v>394.2</v>
      </c>
      <c r="R8">
        <f>C8*12-Q8</f>
        <v>605.8</v>
      </c>
    </row>
    <row r="9">
      <c r="A9" t="str">
        <v>J3大开支</v>
      </c>
      <c r="B9" t="str">
        <v>医疗</v>
      </c>
      <c r="C9">
        <v>41.6666666666667</v>
      </c>
      <c r="E9">
        <f>SUMIFS('J3 1月'!D:D,'J3 1月'!B:B,B9)</f>
        <v>81.3</v>
      </c>
      <c r="F9">
        <f>SUMIFS('J3 2月'!D:D,'J3 2月'!B:B,B9)</f>
        <v>0</v>
      </c>
      <c r="Q9">
        <f>SUM(E9:P9)</f>
        <v>81.3</v>
      </c>
      <c r="R9">
        <f>C9*12-Q9</f>
        <v>418.7</v>
      </c>
    </row>
    <row r="10">
      <c r="A10" t="str">
        <v>J3大开支</v>
      </c>
      <c r="B10" t="str">
        <v>居住费</v>
      </c>
      <c r="C10">
        <v>333.333333333333</v>
      </c>
      <c r="E10">
        <f>SUMIFS('J3 1月'!D:D,'J3 1月'!B:B,B10)</f>
        <v>49</v>
      </c>
      <c r="F10">
        <f>SUMIFS('J3 2月'!D:D,'J3 2月'!B:B,B10)</f>
        <v>0</v>
      </c>
      <c r="Q10">
        <f>SUM(E10:P10)</f>
        <v>49</v>
      </c>
      <c r="R10">
        <f>C10*12-Q10</f>
        <v>3951</v>
      </c>
    </row>
    <row r="11">
      <c r="A11" t="str">
        <v>J3大开支</v>
      </c>
      <c r="B11" t="str">
        <v>网费</v>
      </c>
      <c r="C11">
        <v>100</v>
      </c>
      <c r="E11">
        <f>SUMIFS('J3 1月'!D:D,'J3 1月'!B:B,B11)</f>
        <v>0</v>
      </c>
      <c r="F11">
        <f>SUMIFS('J3 2月'!D:D,'J3 2月'!B:B,B11)</f>
        <v>0</v>
      </c>
      <c r="Q11">
        <f>SUM(E11:P11)</f>
        <v>0</v>
      </c>
      <c r="R11">
        <f>C11*12-Q11</f>
        <v>1200</v>
      </c>
    </row>
    <row r="12">
      <c r="A12" t="str">
        <v>J3大开支</v>
      </c>
      <c r="B12" t="str">
        <v>话费</v>
      </c>
      <c r="C12">
        <v>100</v>
      </c>
      <c r="E12">
        <f>SUMIFS('J3 1月'!D:D,'J3 1月'!B:B,B12)</f>
        <v>99.5</v>
      </c>
      <c r="F12">
        <f>SUMIFS('J3 2月'!D:D,'J3 2月'!B:B,B12)</f>
        <v>6</v>
      </c>
      <c r="Q12">
        <f>SUM(E12:P12)</f>
        <v>105.5</v>
      </c>
      <c r="R12">
        <f>C12*12-Q12</f>
        <v>1094.5</v>
      </c>
    </row>
    <row r="13">
      <c r="A13" t="str">
        <v>J3大开支</v>
      </c>
      <c r="B13" t="str">
        <v>学习/付费充值</v>
      </c>
      <c r="C13">
        <v>416.666666666667</v>
      </c>
      <c r="E13">
        <f>SUMIFS('J3 1月'!D:D,'J3 1月'!B:B,B13)</f>
        <v>0</v>
      </c>
      <c r="F13">
        <f>SUMIFS('J3 2月'!D:D,'J3 2月'!B:B,B13)</f>
        <v>0</v>
      </c>
      <c r="Q13">
        <f>SUM(E13:P13)</f>
        <v>0</v>
      </c>
      <c r="R13">
        <f>C13*12-Q13</f>
        <v>5000</v>
      </c>
    </row>
    <row r="14">
      <c r="A14" t="str">
        <v>J3大开支</v>
      </c>
      <c r="B14" t="str">
        <v>衣服</v>
      </c>
      <c r="C14">
        <v>125</v>
      </c>
      <c r="E14">
        <f>SUMIFS('J3 1月'!D:D,'J3 1月'!B:B,B14)</f>
        <v>110</v>
      </c>
      <c r="F14">
        <f>SUMIFS('J3 2月'!D:D,'J3 2月'!B:B,B14)</f>
        <v>0</v>
      </c>
      <c r="Q14">
        <f>SUM(E14:P14)</f>
        <v>110</v>
      </c>
      <c r="R14">
        <f>C14*12-Q14</f>
        <v>1390</v>
      </c>
    </row>
    <row r="15">
      <c r="A15" t="str">
        <v>J3大开支</v>
      </c>
      <c r="B15" t="str">
        <v>数码家电</v>
      </c>
      <c r="C15">
        <v>166.666666666667</v>
      </c>
      <c r="E15">
        <f>SUMIFS('J3 1月'!D:D,'J3 1月'!B:B,B15)</f>
        <v>110</v>
      </c>
      <c r="F15">
        <f>SUMIFS('J3 2月'!D:D,'J3 2月'!B:B,B15)</f>
        <v>0</v>
      </c>
      <c r="Q15">
        <f>SUM(E15:P15)</f>
        <v>110</v>
      </c>
      <c r="R15">
        <f>C15*12-Q15</f>
        <v>1890</v>
      </c>
    </row>
    <row r="16">
      <c r="A16" t="str">
        <v>J3大开支</v>
      </c>
      <c r="B16" t="str">
        <v>社交送礼</v>
      </c>
      <c r="C16">
        <v>250</v>
      </c>
      <c r="E16">
        <f>SUMIFS('J3 1月'!D:D,'J3 1月'!B:B,B16)</f>
        <v>334.18</v>
      </c>
      <c r="F16">
        <f>SUMIFS('J3 2月'!D:D,'J3 2月'!B:B,B16)</f>
        <v>497.45</v>
      </c>
      <c r="Q16">
        <f>SUM(E16:P16)</f>
        <v>831.63</v>
      </c>
      <c r="R16">
        <f>C16*12-Q16</f>
        <v>2168.37</v>
      </c>
    </row>
    <row r="17">
      <c r="A17" t="str">
        <v>J3大开支</v>
      </c>
      <c r="B17" t="str">
        <v>保险</v>
      </c>
      <c r="C17">
        <v>1250</v>
      </c>
      <c r="E17">
        <f>SUMIFS('J3 1月'!D:D,'J3 1月'!B:B,B17)</f>
        <v>45.29</v>
      </c>
      <c r="F17">
        <f>SUMIFS('J3 2月'!D:D,'J3 2月'!B:B,B17)</f>
        <v>0</v>
      </c>
      <c r="Q17">
        <f>SUM(E17:P17)</f>
        <v>45.29</v>
      </c>
      <c r="R17">
        <f>C17*12-Q17</f>
        <v>14954.71</v>
      </c>
    </row>
    <row r="18">
      <c r="A18" t="str">
        <v>J3大开支</v>
      </c>
      <c r="B18" t="str">
        <v>剪发</v>
      </c>
      <c r="C18">
        <v>100</v>
      </c>
      <c r="E18">
        <f>SUMIFS('J3 1月'!D:D,'J3 1月'!B:B,B18)</f>
        <v>0</v>
      </c>
      <c r="F18">
        <f>SUMIFS('J3 2月'!D:D,'J3 2月'!B:B,B18)</f>
        <v>0</v>
      </c>
      <c r="Q18">
        <f>SUM(E18:P18)</f>
        <v>0</v>
      </c>
      <c r="R18">
        <f>C18*12-Q18</f>
        <v>1200</v>
      </c>
    </row>
    <row r="19">
      <c r="A19" t="str">
        <v>J3大开支</v>
      </c>
      <c r="B19" t="str">
        <v>看剧</v>
      </c>
      <c r="C19">
        <v>125</v>
      </c>
      <c r="E19">
        <f>SUMIFS('J3 1月'!D:D,'J3 1月'!B:B,B19)</f>
        <v>180</v>
      </c>
      <c r="F19">
        <f>SUMIFS('J3 2月'!D:D,'J3 2月'!B:B,B19)</f>
        <v>499.9</v>
      </c>
      <c r="Q19">
        <f>SUM(E19:P19)</f>
        <v>679.9</v>
      </c>
      <c r="R19">
        <f>C19*12-Q19</f>
        <v>820.1</v>
      </c>
    </row>
    <row r="20">
      <c r="B20" t="str">
        <v>合计</v>
      </c>
      <c r="C20">
        <f>SUM(C3:C19)</f>
        <v>7350</v>
      </c>
      <c r="E20">
        <f>SUM(E3:E19)</f>
        <v>7799.1</v>
      </c>
      <c r="F20">
        <f>SUM(F3:F19)</f>
        <v>3004</v>
      </c>
      <c r="G20">
        <f>SUM(G3:G19)</f>
        <v>0</v>
      </c>
      <c r="H20">
        <f>SUM(H3:H19)</f>
        <v>0</v>
      </c>
      <c r="I20">
        <f>SUM(I3:I19)</f>
        <v>0</v>
      </c>
      <c r="J20">
        <f>SUM(J3:J19)</f>
        <v>0</v>
      </c>
      <c r="K20">
        <f>SUM(K3:K19)</f>
        <v>0</v>
      </c>
      <c r="L20">
        <f>SUM(L3:L19)</f>
        <v>0</v>
      </c>
      <c r="M20">
        <f>SUM(M3:M19)</f>
        <v>0</v>
      </c>
      <c r="N20">
        <f>SUM(N3:N19)</f>
        <v>0</v>
      </c>
      <c r="O20">
        <f>SUM(O3:O19)</f>
        <v>0</v>
      </c>
      <c r="P20">
        <f>SUM(P3:P19)</f>
        <v>0</v>
      </c>
      <c r="Q20">
        <f>SUM(Q3:Q19)</f>
        <v>10803.1</v>
      </c>
      <c r="R20">
        <f>SUM(R3:R19)</f>
        <v>77396.9</v>
      </c>
    </row>
    <row r="21">
      <c r="A21" t="str">
        <v>当天日期</v>
      </c>
      <c r="B21">
        <f>TODAY()</f>
        <v>46068</v>
      </c>
      <c r="C21" t="str">
        <v>当月消费进度</v>
      </c>
      <c r="E21">
        <f>E20/$C$20</f>
        <v>1.06110204081633</v>
      </c>
      <c r="F21">
        <f>F20/$C$20</f>
        <v>0.408707482993197</v>
      </c>
      <c r="G21">
        <f>G20/$C$20</f>
        <v>0</v>
      </c>
      <c r="H21">
        <f>H20/$C$20</f>
        <v>0</v>
      </c>
      <c r="I21">
        <f>I20/$C$20</f>
        <v>0</v>
      </c>
      <c r="J21">
        <f>J20/$C$20</f>
        <v>0</v>
      </c>
      <c r="K21">
        <f>K20/$C$20</f>
        <v>0</v>
      </c>
      <c r="L21">
        <f>L20/$C$20</f>
        <v>0</v>
      </c>
      <c r="M21">
        <f>M20/$C$20</f>
        <v>0</v>
      </c>
      <c r="N21">
        <f>N20/$C$20</f>
        <v>0</v>
      </c>
      <c r="O21">
        <f>O20/$C$20</f>
        <v>0</v>
      </c>
      <c r="P21">
        <f>P20/$C$20</f>
        <v>0</v>
      </c>
    </row>
    <row r="22">
      <c r="C22" t="str">
        <v>当月时间进度</v>
      </c>
      <c r="E22">
        <f>DAY(B21)/DAY(EOMONTH(B21,0))</f>
        <v>0.535714285714286</v>
      </c>
    </row>
    <row r="23">
      <c r="A23" t="str">
        <v>JX</v>
      </c>
      <c r="C23" t="str">
        <v>2026年（预算）</v>
      </c>
      <c r="E23" t="str">
        <v>2026年实际</v>
      </c>
    </row>
    <row r="24">
      <c r="A24" t="str">
        <v>一级分类</v>
      </c>
      <c r="B24" t="str">
        <v>二级分类</v>
      </c>
      <c r="C24" t="str">
        <v>1月预算</v>
      </c>
      <c r="D24" t="str">
        <v>2月预算刷新</v>
      </c>
      <c r="E24" t="str">
        <v>1月</v>
      </c>
      <c r="F24" t="str">
        <v>2月</v>
      </c>
      <c r="G24" t="str">
        <v>3月</v>
      </c>
      <c r="H24" t="str">
        <v>4月</v>
      </c>
      <c r="I24" t="str">
        <v>5月</v>
      </c>
      <c r="J24" t="str">
        <v>6月</v>
      </c>
      <c r="K24" t="str">
        <v>7月</v>
      </c>
      <c r="L24" t="str">
        <v>8月</v>
      </c>
      <c r="M24" t="str">
        <v>9月</v>
      </c>
      <c r="N24" t="str">
        <v>10月</v>
      </c>
      <c r="O24" t="str">
        <v>11月</v>
      </c>
      <c r="P24" t="str">
        <v>12月</v>
      </c>
      <c r="Q24" t="str">
        <v>总计</v>
      </c>
      <c r="R24" t="str">
        <v>年度剩余</v>
      </c>
    </row>
    <row r="25">
      <c r="A25" t="str">
        <v>JX日常</v>
      </c>
      <c r="B25" t="str">
        <v>吃喝</v>
      </c>
      <c r="C25">
        <v>3000</v>
      </c>
      <c r="E25">
        <f>SUMIFS('JX 1.11-31生活流水'!E:E,'JX 1.11-31生活流水'!B:B,B25)</f>
        <v>2592.75658</v>
      </c>
      <c r="F25">
        <f>SUMIFS('JX 2月生活流水'!E:E,'JX 2月生活流水'!B:B,B25)</f>
        <v>1050.88</v>
      </c>
      <c r="Q25">
        <f>SUM(E25:P25)</f>
        <v>3643.63658</v>
      </c>
      <c r="R25">
        <f>C25*12-Q25</f>
        <v>32356.36342</v>
      </c>
    </row>
    <row r="26">
      <c r="A26" t="str">
        <v>JX日常</v>
      </c>
      <c r="B26" t="str">
        <v>交通</v>
      </c>
      <c r="C26">
        <v>1000</v>
      </c>
      <c r="E26">
        <f>SUMIFS('JX 1.11-31生活流水'!E:E,'JX 1.11-31生活流水'!B:B,B26)</f>
        <v>1011.1746</v>
      </c>
      <c r="F26">
        <f>SUMIFS('JX 2月生活流水'!E:E,'JX 2月生活流水'!B:B,B26)</f>
        <v>484.784</v>
      </c>
      <c r="Q26">
        <f>SUM(E26:P26)</f>
        <v>1495.9586</v>
      </c>
      <c r="R26">
        <f>C26*12-Q26</f>
        <v>10504.0414</v>
      </c>
    </row>
    <row r="27">
      <c r="A27" t="str">
        <v>JX大开支</v>
      </c>
      <c r="B27" t="str">
        <v>日用品</v>
      </c>
      <c r="C27">
        <v>500</v>
      </c>
      <c r="E27">
        <f>SUMIFS('JX 1.11-31生活流水'!E:E,'JX 1.11-31生活流水'!B:B,B27)</f>
        <v>328.95</v>
      </c>
      <c r="F27">
        <f>SUMIFS('JX 2月生活流水'!E:E,'JX 2月生活流水'!B:B,B27)</f>
        <v>626</v>
      </c>
      <c r="Q27">
        <f>SUM(E27:P27)</f>
        <v>954.95</v>
      </c>
      <c r="R27">
        <f>C27*12-Q27</f>
        <v>5045.05</v>
      </c>
    </row>
    <row r="28">
      <c r="A28" t="str">
        <v>JX大开支</v>
      </c>
      <c r="B28" t="str">
        <v>化妆护肤</v>
      </c>
      <c r="C28">
        <v>416.666666666667</v>
      </c>
      <c r="E28">
        <f>SUMIFS('JX 1.11-31生活流水'!E:E,'JX 1.11-31生活流水'!B:B,B28)</f>
        <v>0</v>
      </c>
      <c r="F28">
        <f>SUMIFS('JX 2月生活流水'!E:E,'JX 2月生活流水'!B:B,B28)</f>
        <v>0</v>
      </c>
      <c r="Q28">
        <f>SUM(E28:P28)</f>
        <v>0</v>
      </c>
      <c r="R28">
        <f>C28*12-Q28</f>
        <v>5000</v>
      </c>
    </row>
    <row r="29">
      <c r="A29" t="str">
        <v>JX大开支</v>
      </c>
      <c r="B29" t="str">
        <v>居住费</v>
      </c>
      <c r="C29">
        <v>166.666666666667</v>
      </c>
      <c r="E29">
        <f>SUMIFS('JX 1.11-31生活流水'!E:E,'JX 1.11-31生活流水'!B:B,B29)</f>
        <v>172.2</v>
      </c>
      <c r="F29">
        <f>SUMIFS('JX 2月生活流水'!E:E,'JX 2月生活流水'!B:B,B29)</f>
        <v>32.8</v>
      </c>
      <c r="Q29">
        <f>SUM(E29:P29)</f>
        <v>205</v>
      </c>
      <c r="R29">
        <f>C29*12-Q29</f>
        <v>1795</v>
      </c>
    </row>
    <row r="30">
      <c r="A30" t="str">
        <v>JX大开支</v>
      </c>
      <c r="B30" t="str">
        <v>话费</v>
      </c>
      <c r="C30">
        <v>50</v>
      </c>
      <c r="E30">
        <f>SUMIFS('JX 1.11-31生活流水'!E:E,'JX 1.11-31生活流水'!B:B,B30)</f>
        <v>0</v>
      </c>
      <c r="F30">
        <f>SUMIFS('JX 2月生活流水'!E:E,'JX 2月生活流水'!B:B,B30)</f>
        <v>0</v>
      </c>
      <c r="Q30">
        <f>SUM(E30:P30)</f>
        <v>0</v>
      </c>
      <c r="R30">
        <f>C30*12-Q30</f>
        <v>600</v>
      </c>
    </row>
    <row r="31">
      <c r="A31" t="str">
        <v>JX大开支</v>
      </c>
      <c r="B31" t="str">
        <v>学习/付费充值</v>
      </c>
      <c r="C31">
        <v>300</v>
      </c>
      <c r="E31">
        <f>SUMIFS('JX 1.11-31生活流水'!E:E,'JX 1.11-31生活流水'!B:B,B31)</f>
        <v>0</v>
      </c>
      <c r="F31">
        <f>SUMIFS('JX 2月生活流水'!E:E,'JX 2月生活流水'!B:B,B31)</f>
        <v>0</v>
      </c>
      <c r="Q31">
        <f>SUM(E31:P31)</f>
        <v>0</v>
      </c>
      <c r="R31">
        <f>C31*12-Q31</f>
        <v>3600</v>
      </c>
    </row>
    <row r="32">
      <c r="A32" t="str">
        <v>JX大开支</v>
      </c>
      <c r="B32" t="str">
        <v>衣服</v>
      </c>
      <c r="C32">
        <v>1000</v>
      </c>
      <c r="E32">
        <f>SUMIFS('JX 1.11-31生活流水'!E:E,'JX 1.11-31生活流水'!B:B,B32)</f>
        <v>0</v>
      </c>
      <c r="F32">
        <f>SUMIFS('JX 2月生活流水'!E:E,'JX 2月生活流水'!B:B,B32)</f>
        <v>0</v>
      </c>
      <c r="Q32">
        <f>SUM(E32:P32)</f>
        <v>0</v>
      </c>
      <c r="R32">
        <f>C32*12-Q32</f>
        <v>12000</v>
      </c>
    </row>
    <row r="33">
      <c r="A33" t="str">
        <v>JX大开支</v>
      </c>
      <c r="B33" t="str">
        <v>社交送礼</v>
      </c>
      <c r="C33">
        <v>250</v>
      </c>
      <c r="E33">
        <f>SUMIFS('JX 1.11-31生活流水'!E:E,'JX 1.11-31生活流水'!B:B,B33)</f>
        <v>0</v>
      </c>
      <c r="F33">
        <f>SUMIFS('JX 2月生活流水'!E:E,'JX 2月生活流水'!B:B,B33)</f>
        <v>1543.552</v>
      </c>
      <c r="Q33">
        <f>SUM(E33:P33)</f>
        <v>1543.552</v>
      </c>
      <c r="R33">
        <f>C33*12-Q33</f>
        <v>1456.448</v>
      </c>
    </row>
    <row r="34">
      <c r="A34" t="str">
        <v>JX大开支</v>
      </c>
      <c r="B34" t="str">
        <v>剪发</v>
      </c>
      <c r="C34">
        <v>83.3333333333333</v>
      </c>
      <c r="E34">
        <f>SUMIFS('JX 1.11-31生活流水'!E:E,'JX 1.11-31生活流水'!B:B,B34)</f>
        <v>0</v>
      </c>
      <c r="F34">
        <f>SUMIFS('JX 2月生活流水'!E:E,'JX 2月生活流水'!B:B,B34)</f>
        <v>0</v>
      </c>
      <c r="Q34">
        <f>SUM(E34:P34)</f>
        <v>0</v>
      </c>
      <c r="R34">
        <f>C34*12-Q34</f>
        <v>1000</v>
      </c>
    </row>
    <row r="35">
      <c r="A35" t="str">
        <v>JX大开支</v>
      </c>
      <c r="B35" t="str">
        <v>爱好</v>
      </c>
      <c r="C35">
        <v>2000</v>
      </c>
      <c r="E35">
        <f>SUMIFS('JX 1.11-31生活流水'!E:E,'JX 1.11-31生活流水'!B:B,B35)</f>
        <v>503</v>
      </c>
      <c r="F35">
        <f>SUMIFS('JX 2月生活流水'!E:E,'JX 2月生活流水'!B:B,B35)</f>
        <v>0</v>
      </c>
      <c r="Q35">
        <f>SUM(E35:P35)</f>
        <v>503</v>
      </c>
      <c r="R35">
        <f>C35*12-Q35</f>
        <v>23497</v>
      </c>
    </row>
    <row r="36">
      <c r="A36" t="str">
        <v>JX大开支</v>
      </c>
      <c r="B36" t="str">
        <v>父母</v>
      </c>
      <c r="C36">
        <v>4083.33333333333</v>
      </c>
      <c r="E36">
        <f>SUMIFS('JX 1.11-31生活流水'!E:E,'JX 1.11-31生活流水'!B:B,B36)</f>
        <v>0</v>
      </c>
      <c r="F36">
        <f>SUMIFS('JX 2月生活流水'!E:E,'JX 2月生活流水'!B:B,B36)</f>
        <v>0</v>
      </c>
      <c r="Q36">
        <f>SUM(E36:P36)</f>
        <v>0</v>
      </c>
      <c r="R36">
        <f>C36*12-Q36</f>
        <v>49000</v>
      </c>
    </row>
    <row r="37">
      <c r="B37" t="str">
        <v>合计</v>
      </c>
      <c r="C37">
        <f>SUM(C27:C36)</f>
        <v>8850</v>
      </c>
      <c r="E37">
        <f>SUM(E25:E36)</f>
        <v>4608.08118</v>
      </c>
      <c r="F37">
        <f>SUM(F25:F36)</f>
        <v>3738.016</v>
      </c>
      <c r="G37">
        <f>SUM(G25:G36)</f>
        <v>0</v>
      </c>
      <c r="H37">
        <f>SUM(H25:H36)</f>
        <v>0</v>
      </c>
      <c r="I37">
        <f>SUM(I25:I36)</f>
        <v>0</v>
      </c>
      <c r="J37">
        <f>SUM(J25:J36)</f>
        <v>0</v>
      </c>
      <c r="K37">
        <f>SUM(K25:K36)</f>
        <v>0</v>
      </c>
      <c r="L37">
        <f>SUM(L25:L36)</f>
        <v>0</v>
      </c>
      <c r="M37">
        <f>SUM(M25:M36)</f>
        <v>0</v>
      </c>
      <c r="N37">
        <f>SUM(N25:N36)</f>
        <v>0</v>
      </c>
      <c r="O37">
        <f>SUM(O25:O36)</f>
        <v>0</v>
      </c>
      <c r="P37">
        <f>SUM(P25:P36)</f>
        <v>0</v>
      </c>
      <c r="Q37">
        <f>SUM(Q25:Q36)</f>
        <v>8346.09718</v>
      </c>
      <c r="R37">
        <f>SUM(R25:R36)</f>
        <v>145853.90282</v>
      </c>
    </row>
    <row r="38">
      <c r="A38" t="str">
        <v>当天日期</v>
      </c>
      <c r="B38">
        <f>TODAY()</f>
        <v>46068</v>
      </c>
      <c r="C38" t="str">
        <v>当月消费预估</v>
      </c>
      <c r="E38">
        <f>'JX 1.11-31生活流水'!J2*31</f>
        <v>7009.07221809524</v>
      </c>
      <c r="F38">
        <f>F37/$C$37</f>
        <v>0.422374689265537</v>
      </c>
      <c r="G38">
        <f>G37/$C$37</f>
        <v>0</v>
      </c>
      <c r="H38">
        <f>H37/$C$37</f>
        <v>0</v>
      </c>
      <c r="I38">
        <f>I37/$C$37</f>
        <v>0</v>
      </c>
      <c r="J38">
        <f>J37/$C$37</f>
        <v>0</v>
      </c>
      <c r="K38">
        <f>K37/$C$37</f>
        <v>0</v>
      </c>
      <c r="L38">
        <f>L37/$C$37</f>
        <v>0</v>
      </c>
      <c r="M38">
        <f>M37/$C$37</f>
        <v>0</v>
      </c>
      <c r="N38">
        <f>N37/$C$37</f>
        <v>0</v>
      </c>
      <c r="O38">
        <f>O37/$C$37</f>
        <v>0</v>
      </c>
      <c r="P38">
        <f>P37/$C$37</f>
        <v>0</v>
      </c>
    </row>
    <row r="39">
      <c r="A39" t="str">
        <v>当月时间进度</v>
      </c>
      <c r="B39">
        <f>DAY(B38)/DAY(EOMONTH(B38,0))</f>
        <v>0.535714285714286</v>
      </c>
    </row>
    <row r="41">
      <c r="A41" t="str">
        <v>J3+JX</v>
      </c>
      <c r="C41" t="str">
        <v>每月预算</v>
      </c>
      <c r="E41" t="str">
        <v>1月</v>
      </c>
      <c r="F41" t="str">
        <v>2月</v>
      </c>
      <c r="G41" t="str">
        <v>3月</v>
      </c>
      <c r="H41" t="str">
        <v>4月</v>
      </c>
      <c r="I41" t="str">
        <v>5月</v>
      </c>
      <c r="J41" t="str">
        <v>6月</v>
      </c>
      <c r="K41" t="str">
        <v>7月</v>
      </c>
      <c r="L41" t="str">
        <v>8月</v>
      </c>
      <c r="M41" t="str">
        <v>9月</v>
      </c>
      <c r="N41" t="str">
        <v>10月</v>
      </c>
      <c r="O41" t="str">
        <v>11月</v>
      </c>
      <c r="P41" t="str">
        <v>12月</v>
      </c>
      <c r="Q41" t="str">
        <v>总计</v>
      </c>
      <c r="R41" t="str">
        <v>年度剩余</v>
      </c>
    </row>
    <row r="42">
      <c r="A42" t="str">
        <v>共同大开支</v>
      </c>
      <c r="B42" t="str">
        <v>旅游</v>
      </c>
      <c r="C42">
        <v>5000</v>
      </c>
      <c r="E42">
        <f>SUMIFS('J3 1月'!D:D,'J3 1月'!B:B,B42)+SUMIFS('JX 1.11-31生活流水'!E:E,'JX 1.11-31生活流水'!B:B,B42)</f>
        <v>11912.47</v>
      </c>
      <c r="F42">
        <f>SUMIFS('J3 2月'!D:D,'J3 2月'!B:B,B42)+SUMIFS('JX 2月生活流水'!E:E,'JX 2月生活流水'!B:B,B42)</f>
        <v>0</v>
      </c>
      <c r="Q42">
        <f>SUM(E42:P42)</f>
        <v>11912.47</v>
      </c>
      <c r="R42">
        <f>C42*12-Q42</f>
        <v>48087.53</v>
      </c>
    </row>
  </sheetData>
  <mergeCells count="8">
    <mergeCell ref="A1:B1"/>
    <mergeCell ref="E1:Q1"/>
    <mergeCell ref="E22:P22"/>
    <mergeCell ref="A23:B23"/>
    <mergeCell ref="E23:Q23"/>
    <mergeCell ref="A41:B41"/>
    <mergeCell ref="A21:A22"/>
    <mergeCell ref="B21:B22"/>
  </mergeCells>
  <pageMargins left="0.75" right="0.75" top="1" bottom="1" header="0.5" footer="0.5"/>
  <ignoredErrors>
    <ignoredError numberStoredAsText="1" sqref="A1:T2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2"/>
  <sheetViews>
    <sheetView workbookViewId="0" rightToLeft="0"/>
  </sheetViews>
  <sheetData>
    <row r="1">
      <c r="A1" t="str">
        <v>日期</v>
      </c>
      <c r="B1" t="str">
        <v>分类</v>
      </c>
      <c r="C1" t="str">
        <v>明细</v>
      </c>
      <c r="D1" t="str">
        <v>金额IDR</v>
      </c>
      <c r="E1" t="str">
        <v>金额RMB</v>
      </c>
      <c r="G1" t="str">
        <v>当日合计</v>
      </c>
      <c r="J1" t="str">
        <v>日均销</v>
      </c>
    </row>
    <row r="2">
      <c r="A2">
        <v>46054</v>
      </c>
      <c r="B2" t="str">
        <v>交通</v>
      </c>
      <c r="D2">
        <f>20600+31900+29900</f>
        <v>82400</v>
      </c>
      <c r="E2">
        <f>D2*0.00041</f>
        <v>33.784</v>
      </c>
      <c r="G2">
        <v>46054</v>
      </c>
      <c r="H2">
        <f>SUMIFS(E:E,A:A,G2)</f>
        <v>129.784</v>
      </c>
      <c r="J2">
        <f>AVERAGEIF(H:H,"&gt;0",H:H)</f>
        <v>538.430857142857</v>
      </c>
    </row>
    <row r="3">
      <c r="A3">
        <v>46054</v>
      </c>
      <c r="B3" t="str">
        <v>吃喝</v>
      </c>
      <c r="E3">
        <f>28+26+26+16</f>
        <v>96</v>
      </c>
      <c r="G3">
        <v>46055</v>
      </c>
      <c r="H3">
        <f>SUMIFS(E:E,A:A,G3)</f>
        <v>121</v>
      </c>
    </row>
    <row r="4">
      <c r="A4">
        <v>46055</v>
      </c>
      <c r="B4" t="str">
        <v>吃喝</v>
      </c>
      <c r="E4">
        <v>109</v>
      </c>
      <c r="G4">
        <v>46056</v>
      </c>
      <c r="H4">
        <f>SUMIFS(E:E,A:A,G4)</f>
        <v>1262.38</v>
      </c>
    </row>
    <row r="5">
      <c r="A5">
        <v>46055</v>
      </c>
      <c r="B5" t="str">
        <v>交通</v>
      </c>
      <c r="E5">
        <v>12</v>
      </c>
      <c r="G5">
        <v>46057</v>
      </c>
      <c r="H5">
        <f>SUMIFS(E:E,A:A,G5)</f>
        <v>1597.352</v>
      </c>
    </row>
    <row r="6">
      <c r="A6">
        <v>46056</v>
      </c>
      <c r="B6" t="str">
        <v>吃喝</v>
      </c>
      <c r="C6" t="str">
        <v>汉堡王+超市</v>
      </c>
      <c r="E6">
        <v>228</v>
      </c>
      <c r="G6">
        <v>46058</v>
      </c>
      <c r="H6">
        <f>SUMIFS(E:E,A:A,G6)</f>
        <v>386</v>
      </c>
    </row>
    <row r="7">
      <c r="A7">
        <v>46056</v>
      </c>
      <c r="B7" t="str">
        <v>交通</v>
      </c>
      <c r="C7" t="str">
        <v>差旅打车</v>
      </c>
      <c r="E7">
        <v>357</v>
      </c>
      <c r="G7">
        <v>46059</v>
      </c>
      <c r="H7">
        <f>SUMIFS(E:E,A:A,G7)</f>
        <v>227.5</v>
      </c>
    </row>
    <row r="8">
      <c r="A8">
        <v>46060</v>
      </c>
      <c r="B8" t="str">
        <v>吃喝</v>
      </c>
      <c r="C8" t="str">
        <v>螺蛳粉</v>
      </c>
      <c r="E8">
        <v>45</v>
      </c>
      <c r="G8">
        <v>46060</v>
      </c>
      <c r="H8">
        <f>SUMIFS(E:E,A:A,G8)</f>
        <v>45</v>
      </c>
    </row>
    <row r="9">
      <c r="A9">
        <v>46059</v>
      </c>
      <c r="B9" t="str">
        <v>吃喝</v>
      </c>
      <c r="C9" t="str">
        <v>外卖</v>
      </c>
      <c r="E9">
        <v>131</v>
      </c>
      <c r="G9">
        <v>46061</v>
      </c>
      <c r="H9">
        <f>SUMIFS(E:E,A:A,G9)</f>
        <v>0</v>
      </c>
    </row>
    <row r="10">
      <c r="A10">
        <v>46059</v>
      </c>
      <c r="B10" t="str">
        <v>吃喝</v>
      </c>
      <c r="C10" t="str">
        <v>叮咚</v>
      </c>
      <c r="E10">
        <v>54</v>
      </c>
      <c r="G10">
        <v>46062</v>
      </c>
      <c r="H10">
        <f>SUMIFS(E:E,A:A,G10)</f>
        <v>0</v>
      </c>
    </row>
    <row r="11">
      <c r="A11">
        <v>46059</v>
      </c>
      <c r="B11" t="str">
        <v>吃喝</v>
      </c>
      <c r="C11" t="str">
        <v>炸串</v>
      </c>
      <c r="E11">
        <v>42.5</v>
      </c>
      <c r="G11">
        <v>46063</v>
      </c>
      <c r="H11">
        <f>SUMIFS(E:E,A:A,G11)</f>
        <v>0</v>
      </c>
    </row>
    <row r="12">
      <c r="A12">
        <v>46058</v>
      </c>
      <c r="B12" t="str">
        <v>日用品</v>
      </c>
      <c r="C12" t="str">
        <v>屈臣氏</v>
      </c>
      <c r="E12">
        <v>134</v>
      </c>
      <c r="G12">
        <v>46064</v>
      </c>
      <c r="H12">
        <f>SUMIFS(E:E,A:A,G12)</f>
        <v>0</v>
      </c>
    </row>
    <row r="13">
      <c r="A13">
        <v>46058</v>
      </c>
      <c r="B13" t="str">
        <v>日用品</v>
      </c>
      <c r="C13" t="str">
        <v>过滤器</v>
      </c>
      <c r="E13">
        <v>120</v>
      </c>
      <c r="G13">
        <v>46065</v>
      </c>
      <c r="H13">
        <f>SUMIFS(E:E,A:A,G13)</f>
        <v>0</v>
      </c>
    </row>
    <row r="14">
      <c r="A14">
        <v>46058</v>
      </c>
      <c r="B14" t="str">
        <v>吃喝</v>
      </c>
      <c r="C14" t="str">
        <v>叮咚</v>
      </c>
      <c r="E14">
        <v>101</v>
      </c>
      <c r="G14">
        <v>46066</v>
      </c>
      <c r="H14">
        <f>SUMIFS(E:E,A:A,G14)</f>
        <v>0</v>
      </c>
    </row>
    <row r="15">
      <c r="A15">
        <v>46058</v>
      </c>
      <c r="B15" t="str">
        <v>学习/充值付费</v>
      </c>
      <c r="C15" t="str">
        <v>VPN</v>
      </c>
      <c r="E15">
        <v>31</v>
      </c>
      <c r="G15">
        <v>46067</v>
      </c>
      <c r="H15">
        <f>SUMIFS(E:E,A:A,G15)</f>
        <v>0</v>
      </c>
    </row>
    <row r="16">
      <c r="A16">
        <v>46057</v>
      </c>
      <c r="B16" t="str">
        <v>社交送礼</v>
      </c>
      <c r="C16" t="str">
        <v>咖啡豆</v>
      </c>
      <c r="E16">
        <v>122</v>
      </c>
      <c r="G16">
        <v>46068</v>
      </c>
      <c r="H16">
        <f>SUMIFS(E:E,A:A,G16)</f>
        <v>0</v>
      </c>
    </row>
    <row r="17">
      <c r="A17">
        <v>46057</v>
      </c>
      <c r="B17" t="str">
        <v>日用品</v>
      </c>
      <c r="C17" t="str">
        <v>屈臣氏</v>
      </c>
      <c r="E17">
        <v>48</v>
      </c>
      <c r="G17">
        <v>46069</v>
      </c>
      <c r="H17">
        <f>SUMIFS(E:E,A:A,G17)</f>
        <v>0</v>
      </c>
    </row>
    <row r="18">
      <c r="A18">
        <v>46057</v>
      </c>
      <c r="B18" t="str">
        <v>吃喝</v>
      </c>
      <c r="C18" t="str">
        <v>超市</v>
      </c>
      <c r="E18">
        <v>14</v>
      </c>
      <c r="G18">
        <v>46070</v>
      </c>
      <c r="H18">
        <f>SUMIFS(E:E,A:A,G18)</f>
        <v>0</v>
      </c>
    </row>
    <row r="19">
      <c r="A19">
        <v>46056</v>
      </c>
      <c r="B19" t="str">
        <v>吃喝</v>
      </c>
      <c r="C19" t="str">
        <v>超市</v>
      </c>
      <c r="E19">
        <v>161</v>
      </c>
      <c r="G19">
        <v>46071</v>
      </c>
      <c r="H19">
        <f>SUMIFS(E:E,A:A,G19)</f>
        <v>0</v>
      </c>
    </row>
    <row r="20">
      <c r="A20">
        <v>46056</v>
      </c>
      <c r="B20" t="str">
        <v>吃喝</v>
      </c>
      <c r="C20" t="str">
        <v>酸辣粉</v>
      </c>
      <c r="E20">
        <v>62</v>
      </c>
      <c r="G20">
        <v>46072</v>
      </c>
      <c r="H20">
        <f>SUMIFS(E:E,A:A,G20)</f>
        <v>0</v>
      </c>
    </row>
    <row r="21">
      <c r="A21">
        <v>46056</v>
      </c>
      <c r="B21" t="str">
        <v>日用品</v>
      </c>
      <c r="C21" t="str">
        <v>净水器</v>
      </c>
      <c r="E21">
        <v>324</v>
      </c>
      <c r="G21">
        <v>46073</v>
      </c>
      <c r="H21">
        <f>SUMIFS(E:E,A:A,G21)</f>
        <v>0</v>
      </c>
    </row>
    <row r="22">
      <c r="A22">
        <v>46057</v>
      </c>
      <c r="B22" t="str">
        <v>交通</v>
      </c>
      <c r="C22" t="str">
        <v>去机场打车</v>
      </c>
      <c r="D22">
        <v>200000</v>
      </c>
      <c r="E22">
        <f>D22*0.00041</f>
        <v>82</v>
      </c>
      <c r="G22">
        <v>46074</v>
      </c>
      <c r="H22">
        <f>SUMIFS(E:E,A:A,G22)</f>
        <v>0</v>
      </c>
    </row>
    <row r="23">
      <c r="A23">
        <v>46057</v>
      </c>
      <c r="B23" t="str">
        <v>社交送礼</v>
      </c>
      <c r="C23" t="str">
        <v>椰子片</v>
      </c>
      <c r="D23">
        <v>260000</v>
      </c>
      <c r="E23">
        <f>D23*0.00041</f>
        <v>106.6</v>
      </c>
      <c r="G23">
        <v>46075</v>
      </c>
      <c r="H23">
        <f>SUMIFS(E:E,A:A,G23)</f>
        <v>0</v>
      </c>
    </row>
    <row r="24">
      <c r="A24">
        <v>46057</v>
      </c>
      <c r="B24" t="str">
        <v>社交送礼</v>
      </c>
      <c r="C24" t="str">
        <v>sensatia</v>
      </c>
      <c r="D24">
        <v>2907200</v>
      </c>
      <c r="E24">
        <f>D24*0.00041</f>
        <v>1191.952</v>
      </c>
      <c r="G24">
        <v>46076</v>
      </c>
      <c r="H24">
        <f>SUMIFS(E:E,A:A,G24)</f>
        <v>0</v>
      </c>
    </row>
    <row r="25">
      <c r="A25">
        <v>46056</v>
      </c>
      <c r="B25" t="str">
        <v>社交送礼</v>
      </c>
      <c r="C25" t="str">
        <v>请下属喝饮料</v>
      </c>
      <c r="D25">
        <v>300000</v>
      </c>
      <c r="E25">
        <f>D25*0.00041</f>
        <v>123</v>
      </c>
      <c r="G25">
        <v>46077</v>
      </c>
      <c r="H25">
        <f>SUMIFS(E:E,A:A,G25)</f>
        <v>0</v>
      </c>
    </row>
    <row r="26">
      <c r="A26">
        <v>46056</v>
      </c>
      <c r="B26" t="str">
        <v>吃喝</v>
      </c>
      <c r="C26" t="str">
        <v>饮料</v>
      </c>
      <c r="D26">
        <v>18000</v>
      </c>
      <c r="E26">
        <f>D26*0.00041</f>
        <v>7.38</v>
      </c>
      <c r="G26">
        <v>46078</v>
      </c>
      <c r="H26">
        <f>SUMIFS(E:E,A:A,G26)</f>
        <v>0</v>
      </c>
    </row>
    <row r="27">
      <c r="A27">
        <v>46057</v>
      </c>
      <c r="B27" t="str">
        <v>居住费</v>
      </c>
      <c r="C27" t="str">
        <v>阿姨打扫</v>
      </c>
      <c r="D27">
        <v>80000</v>
      </c>
      <c r="E27">
        <f>D27*0.00041</f>
        <v>32.8</v>
      </c>
      <c r="G27">
        <v>46079</v>
      </c>
      <c r="H27">
        <f>SUMIFS(E:E,A:A,G27)</f>
        <v>0</v>
      </c>
    </row>
    <row r="28">
      <c r="G28">
        <v>46080</v>
      </c>
      <c r="H28">
        <f>SUMIFS(E:E,A:A,G28)</f>
        <v>0</v>
      </c>
    </row>
    <row r="29">
      <c r="G29">
        <v>46081</v>
      </c>
      <c r="H29">
        <f>SUMIFS(E:E,A:A,G29)</f>
        <v>0</v>
      </c>
    </row>
  </sheetData>
  <mergeCells count="1">
    <mergeCell ref="G1:H1"/>
  </mergeCells>
  <pageMargins left="0.75" right="0.75" top="1" bottom="1" header="0.5" footer="0.5"/>
  <ignoredErrors>
    <ignoredError numberStoredAsText="1" sqref="A1:J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08"/>
  <sheetViews>
    <sheetView workbookViewId="0" rightToLeft="0"/>
  </sheetViews>
  <sheetData>
    <row r="1">
      <c r="A1" t="str">
        <v>日期</v>
      </c>
      <c r="B1" t="str">
        <v>分类</v>
      </c>
      <c r="C1" t="str">
        <v>明细</v>
      </c>
      <c r="D1" t="str">
        <v>金额</v>
      </c>
      <c r="E1" t="str">
        <v>大额支出</v>
      </c>
      <c r="G1" t="str">
        <v>当日合计</v>
      </c>
      <c r="J1" t="str">
        <v>日均销</v>
      </c>
    </row>
    <row r="2">
      <c r="A2">
        <v>46054</v>
      </c>
      <c r="B2" t="str">
        <v>休闲娱乐</v>
      </c>
      <c r="C2" t="str">
        <v>网球</v>
      </c>
      <c r="D2">
        <v>78</v>
      </c>
      <c r="G2">
        <v>46054</v>
      </c>
      <c r="H2">
        <v>228.33</v>
      </c>
      <c r="J2">
        <v>500.666666666667</v>
      </c>
    </row>
    <row r="3">
      <c r="A3">
        <v>46054</v>
      </c>
      <c r="B3" t="str">
        <v>日用品</v>
      </c>
      <c r="C3" t="str">
        <v>贴膜</v>
      </c>
      <c r="D3">
        <v>26.64</v>
      </c>
      <c r="G3">
        <v>46055</v>
      </c>
      <c r="H3">
        <v>0</v>
      </c>
    </row>
    <row r="4">
      <c r="A4">
        <v>46054</v>
      </c>
      <c r="B4" t="str">
        <v>日用品</v>
      </c>
      <c r="C4" t="str">
        <v>生粉罐</v>
      </c>
      <c r="D4">
        <v>14.53</v>
      </c>
      <c r="G4">
        <v>46056</v>
      </c>
      <c r="H4">
        <v>83.29</v>
      </c>
    </row>
    <row r="5">
      <c r="A5">
        <v>46054</v>
      </c>
      <c r="B5" t="str">
        <v>吃喝</v>
      </c>
      <c r="C5" t="str">
        <v>松鲜鲜</v>
      </c>
      <c r="D5">
        <v>11.81</v>
      </c>
      <c r="G5">
        <v>46057</v>
      </c>
      <c r="H5">
        <v>901.12</v>
      </c>
    </row>
    <row r="6">
      <c r="A6">
        <v>46054</v>
      </c>
      <c r="B6" t="str">
        <v>吃喝</v>
      </c>
      <c r="C6" t="str">
        <v>紫光园</v>
      </c>
      <c r="D6">
        <v>55.23</v>
      </c>
      <c r="G6">
        <v>46058</v>
      </c>
      <c r="H6">
        <v>591.95</v>
      </c>
    </row>
    <row r="7">
      <c r="A7">
        <v>46056</v>
      </c>
      <c r="B7" t="str">
        <v>吃喝</v>
      </c>
      <c r="C7" t="str">
        <v>消费柜</v>
      </c>
      <c r="D7">
        <v>3.89</v>
      </c>
      <c r="G7">
        <v>46059</v>
      </c>
      <c r="H7">
        <v>6</v>
      </c>
    </row>
    <row r="8">
      <c r="A8">
        <v>46054</v>
      </c>
      <c r="B8" t="str">
        <v>吃喝</v>
      </c>
      <c r="C8" t="str">
        <v>买菜</v>
      </c>
      <c r="D8">
        <v>37.12</v>
      </c>
      <c r="G8">
        <v>46060</v>
      </c>
      <c r="H8">
        <v>1193.31</v>
      </c>
    </row>
    <row r="9">
      <c r="A9">
        <v>46054</v>
      </c>
      <c r="B9" t="str">
        <v>吃喝</v>
      </c>
      <c r="C9" t="str">
        <v>饮料</v>
      </c>
      <c r="D9">
        <v>5</v>
      </c>
      <c r="G9">
        <v>46061</v>
      </c>
      <c r="H9">
        <v>0</v>
      </c>
    </row>
    <row r="10">
      <c r="A10">
        <v>46057</v>
      </c>
      <c r="B10" t="str">
        <v>交通</v>
      </c>
      <c r="C10" t="str">
        <v>火车票</v>
      </c>
      <c r="D10">
        <v>72</v>
      </c>
      <c r="G10">
        <v>46062</v>
      </c>
      <c r="H10">
        <v>0</v>
      </c>
    </row>
    <row r="11">
      <c r="A11">
        <v>46057</v>
      </c>
      <c r="B11" t="str">
        <v>交通</v>
      </c>
      <c r="C11" t="str">
        <v>火车票</v>
      </c>
      <c r="D11">
        <v>266.6</v>
      </c>
      <c r="G11">
        <v>46063</v>
      </c>
      <c r="H11">
        <v>0</v>
      </c>
    </row>
    <row r="12">
      <c r="A12">
        <v>46057</v>
      </c>
      <c r="B12" t="str">
        <v>吃喝</v>
      </c>
      <c r="C12" t="str">
        <v>牛板筋</v>
      </c>
      <c r="D12">
        <v>62.62</v>
      </c>
      <c r="G12">
        <v>46064</v>
      </c>
      <c r="H12">
        <v>0</v>
      </c>
    </row>
    <row r="13">
      <c r="A13">
        <v>46056</v>
      </c>
      <c r="B13" t="str">
        <v>吃喝</v>
      </c>
      <c r="C13" t="str">
        <v>盒马</v>
      </c>
      <c r="D13">
        <v>79.4</v>
      </c>
      <c r="G13">
        <v>46065</v>
      </c>
      <c r="H13">
        <v>0</v>
      </c>
    </row>
    <row r="14">
      <c r="A14">
        <v>46057</v>
      </c>
      <c r="B14" t="str">
        <v>看剧</v>
      </c>
      <c r="C14" t="str">
        <v>天工开物</v>
      </c>
      <c r="D14">
        <v>499.9</v>
      </c>
      <c r="G14">
        <v>46066</v>
      </c>
      <c r="H14">
        <v>0</v>
      </c>
    </row>
    <row r="15">
      <c r="A15">
        <v>46058</v>
      </c>
      <c r="B15" t="str">
        <v>日用品</v>
      </c>
      <c r="C15" t="str">
        <v>咖啡粉垫</v>
      </c>
      <c r="D15">
        <v>8.62</v>
      </c>
      <c r="G15">
        <v>46067</v>
      </c>
      <c r="H15">
        <v>0</v>
      </c>
    </row>
    <row r="16">
      <c r="A16">
        <v>46058</v>
      </c>
      <c r="B16" t="str">
        <v>交通</v>
      </c>
      <c r="C16" t="str">
        <v>来回机场</v>
      </c>
      <c r="D16">
        <v>142.3</v>
      </c>
      <c r="G16">
        <v>46068</v>
      </c>
      <c r="H16">
        <v>0</v>
      </c>
    </row>
    <row r="17">
      <c r="A17">
        <v>46058</v>
      </c>
      <c r="B17" t="str">
        <v>吃喝</v>
      </c>
      <c r="C17" t="str">
        <v>掌勺人</v>
      </c>
      <c r="D17">
        <v>106.44</v>
      </c>
      <c r="G17">
        <v>46069</v>
      </c>
      <c r="H17">
        <v>0</v>
      </c>
    </row>
    <row r="18">
      <c r="A18">
        <v>46058</v>
      </c>
      <c r="B18" t="str">
        <v>交通</v>
      </c>
      <c r="C18" t="str">
        <v>火车票</v>
      </c>
      <c r="D18">
        <v>105</v>
      </c>
      <c r="G18">
        <v>46070</v>
      </c>
      <c r="H18">
        <v>0</v>
      </c>
    </row>
    <row r="19">
      <c r="A19">
        <v>46058</v>
      </c>
      <c r="B19" t="str">
        <v>吃喝</v>
      </c>
      <c r="C19" t="str">
        <v>早餐</v>
      </c>
      <c r="D19">
        <v>29.9</v>
      </c>
      <c r="G19">
        <v>46071</v>
      </c>
      <c r="H19">
        <v>0</v>
      </c>
    </row>
    <row r="20">
      <c r="A20">
        <v>46058</v>
      </c>
      <c r="B20" t="str">
        <v>交通</v>
      </c>
      <c r="C20" t="str">
        <v>打车</v>
      </c>
      <c r="D20">
        <v>16.69</v>
      </c>
      <c r="G20">
        <v>46072</v>
      </c>
      <c r="H20">
        <v>0</v>
      </c>
    </row>
    <row r="21">
      <c r="A21">
        <v>46059</v>
      </c>
      <c r="B21" t="str">
        <v>话费</v>
      </c>
      <c r="D21">
        <v>6</v>
      </c>
      <c r="G21">
        <v>46073</v>
      </c>
      <c r="H21">
        <v>0</v>
      </c>
    </row>
    <row r="22">
      <c r="A22">
        <v>46060</v>
      </c>
      <c r="B22" t="str">
        <v>吃喝</v>
      </c>
      <c r="D22">
        <v>22</v>
      </c>
      <c r="G22">
        <v>46074</v>
      </c>
      <c r="H22">
        <v>0</v>
      </c>
    </row>
    <row r="23">
      <c r="A23">
        <v>46060</v>
      </c>
      <c r="B23" t="str">
        <v>吃喝</v>
      </c>
      <c r="C23" t="str">
        <v>紫光园</v>
      </c>
      <c r="D23">
        <v>53.46</v>
      </c>
      <c r="G23">
        <v>46075</v>
      </c>
      <c r="H23">
        <v>0</v>
      </c>
    </row>
    <row r="24">
      <c r="A24">
        <v>46060</v>
      </c>
      <c r="B24" t="str">
        <v>社交送礼</v>
      </c>
      <c r="D24">
        <v>215.9</v>
      </c>
      <c r="G24">
        <v>46076</v>
      </c>
      <c r="H24">
        <v>0</v>
      </c>
    </row>
    <row r="25">
      <c r="A25">
        <v>46060</v>
      </c>
      <c r="B25" t="str">
        <v>社交送礼</v>
      </c>
      <c r="D25">
        <v>179.55</v>
      </c>
      <c r="G25">
        <v>46077</v>
      </c>
      <c r="H25">
        <v>0</v>
      </c>
    </row>
    <row r="26">
      <c r="A26">
        <v>46060</v>
      </c>
      <c r="B26" t="str">
        <v>吃喝</v>
      </c>
      <c r="C26" t="str">
        <v>盒马+山姆</v>
      </c>
      <c r="D26">
        <v>447.2</v>
      </c>
      <c r="G26">
        <v>46078</v>
      </c>
      <c r="H26">
        <v>0</v>
      </c>
    </row>
    <row r="27">
      <c r="A27">
        <v>46060</v>
      </c>
      <c r="B27" t="str">
        <v>休闲娱乐</v>
      </c>
      <c r="C27" t="str">
        <v>网球</v>
      </c>
      <c r="D27">
        <v>148.2</v>
      </c>
      <c r="G27">
        <v>46079</v>
      </c>
      <c r="H27">
        <v>0</v>
      </c>
    </row>
    <row r="28">
      <c r="A28">
        <v>46058</v>
      </c>
      <c r="B28" t="str">
        <v>社交送礼</v>
      </c>
      <c r="C28" t="str">
        <v>聚餐</v>
      </c>
      <c r="D28">
        <v>102</v>
      </c>
      <c r="G28">
        <v>46080</v>
      </c>
      <c r="H28">
        <v>0</v>
      </c>
    </row>
    <row r="29">
      <c r="A29">
        <v>46058</v>
      </c>
      <c r="B29" t="str">
        <v>吃喝</v>
      </c>
      <c r="C29" t="str">
        <v>咖啡</v>
      </c>
      <c r="D29">
        <v>15</v>
      </c>
      <c r="G29">
        <v>46081</v>
      </c>
      <c r="H29">
        <v>0</v>
      </c>
    </row>
    <row r="30">
      <c r="A30">
        <v>46058</v>
      </c>
      <c r="B30" t="str">
        <v>吃喝</v>
      </c>
      <c r="C30" t="str">
        <v>饺子</v>
      </c>
      <c r="D30">
        <v>55</v>
      </c>
    </row>
    <row r="31">
      <c r="A31">
        <v>46058</v>
      </c>
      <c r="B31" t="str">
        <v>吃喝</v>
      </c>
      <c r="D31">
        <v>11</v>
      </c>
    </row>
    <row r="32">
      <c r="A32">
        <v>46060</v>
      </c>
      <c r="B32" t="str">
        <v>吃喝</v>
      </c>
      <c r="C32" t="str">
        <v>买菜</v>
      </c>
      <c r="D32">
        <v>127</v>
      </c>
    </row>
    <row r="104">
      <c r="A104" t="str">
        <v>2025-02-08</v>
      </c>
      <c r="B104" t="str">
        <v>吃喝</v>
      </c>
      <c r="C104" t="str">
        <v>奶皮子</v>
      </c>
      <c r="D104">
        <v>96.9</v>
      </c>
    </row>
    <row r="105">
      <c r="A105" t="str">
        <v>2025-02-08</v>
      </c>
      <c r="B105" t="str">
        <v>交通</v>
      </c>
      <c r="C105" t="str">
        <v/>
      </c>
      <c r="D105">
        <v>6</v>
      </c>
    </row>
    <row r="106">
      <c r="A106" t="str">
        <v>2025-02-08</v>
      </c>
      <c r="B106" t="str">
        <v>交通</v>
      </c>
      <c r="C106" t="str">
        <v>打车</v>
      </c>
      <c r="D106">
        <v>88.8</v>
      </c>
    </row>
    <row r="107">
      <c r="A107" t="str">
        <v>2025-02-08</v>
      </c>
      <c r="B107" t="str">
        <v>交通</v>
      </c>
      <c r="C107" t="str">
        <v>打车</v>
      </c>
      <c r="D107">
        <v>15.56</v>
      </c>
    </row>
    <row r="108">
      <c r="A108" t="str">
        <v>2025-02-09</v>
      </c>
      <c r="B108" t="str">
        <v>交通</v>
      </c>
      <c r="C108" t="str">
        <v>打车</v>
      </c>
      <c r="D108">
        <v>18.7</v>
      </c>
    </row>
  </sheetData>
  <ignoredErrors>
    <ignoredError numberStoredAsText="1" sqref="A1:J1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97"/>
  <sheetViews>
    <sheetView workbookViewId="0" rightToLeft="0"/>
  </sheetViews>
  <sheetData>
    <row r="1">
      <c r="B1" t="str">
        <v>2026年（预算）</v>
      </c>
      <c r="E1" t="str">
        <v>2026年实际</v>
      </c>
    </row>
    <row r="2">
      <c r="A2" t="str">
        <v>一级分类</v>
      </c>
      <c r="B2" t="str">
        <v>二级分类</v>
      </c>
      <c r="C2" t="str">
        <v>季度预算</v>
      </c>
      <c r="D2" t="str">
        <v>年度预算</v>
      </c>
      <c r="E2" t="str">
        <v>Q1</v>
      </c>
      <c r="F2" t="str">
        <v>Q2</v>
      </c>
      <c r="G2" t="str">
        <v>Q3</v>
      </c>
      <c r="H2" t="str">
        <v>Q4</v>
      </c>
      <c r="I2" t="str">
        <v>总计</v>
      </c>
      <c r="J2" t="str">
        <v>剩余</v>
      </c>
    </row>
    <row r="3">
      <c r="A3" t="str">
        <v>J3日常</v>
      </c>
      <c r="B3" t="str">
        <v>吃喝</v>
      </c>
      <c r="C3">
        <f>月度预算!C3*3</f>
        <v>9000</v>
      </c>
      <c r="D3">
        <f>月度预算!C3*12</f>
        <v>36000</v>
      </c>
      <c r="E3">
        <f>月度预算!E3+月度预算!F3+月度预算!G3</f>
        <v>4293.46</v>
      </c>
      <c r="F3">
        <f>月度预算!H3+月度预算!I3+月度预算!J3</f>
        <v>0</v>
      </c>
      <c r="G3">
        <f>月度预算!K3+月度预算!L3+月度预算!M3</f>
        <v>0</v>
      </c>
      <c r="H3">
        <f>月度预算!N3+月度预算!O3+月度预算!P3</f>
        <v>0</v>
      </c>
      <c r="I3">
        <f>SUM(E3:H3)</f>
        <v>4293.46</v>
      </c>
      <c r="J3">
        <f>D3-I3</f>
        <v>31706.54</v>
      </c>
    </row>
    <row r="4">
      <c r="A4" t="str">
        <v>J3日常</v>
      </c>
      <c r="B4" t="str">
        <v>水电煤</v>
      </c>
      <c r="C4">
        <f>月度预算!C4*3</f>
        <v>1200</v>
      </c>
      <c r="D4">
        <f>月度预算!C4*12</f>
        <v>4800</v>
      </c>
      <c r="E4">
        <f>月度预算!E4+月度预算!F4+月度预算!G4</f>
        <v>322.6</v>
      </c>
      <c r="F4">
        <f>月度预算!H4+月度预算!I4+月度预算!J4</f>
        <v>0</v>
      </c>
      <c r="G4">
        <f>月度预算!K4+月度预算!L4+月度预算!M4</f>
        <v>0</v>
      </c>
      <c r="H4">
        <f>月度预算!N4+月度预算!O4+月度预算!P4</f>
        <v>0</v>
      </c>
      <c r="I4">
        <f>SUM(E4:H4)</f>
        <v>322.6</v>
      </c>
      <c r="J4">
        <f>D4-I4</f>
        <v>4477.4</v>
      </c>
    </row>
    <row r="5">
      <c r="A5" t="str">
        <v>J3日常</v>
      </c>
      <c r="B5" t="str">
        <v>交通</v>
      </c>
      <c r="C5">
        <f>月度预算!C5*3</f>
        <v>1200</v>
      </c>
      <c r="D5">
        <f>月度预算!C5*12</f>
        <v>4800</v>
      </c>
      <c r="E5">
        <f>月度预算!E5+月度预算!F5+月度预算!G5</f>
        <v>1456.09</v>
      </c>
      <c r="F5">
        <f>月度预算!H5+月度预算!I5+月度预算!J5</f>
        <v>0</v>
      </c>
      <c r="G5">
        <f>月度预算!K5+月度预算!L5+月度预算!M5</f>
        <v>0</v>
      </c>
      <c r="H5">
        <f>月度预算!N5+月度预算!O5+月度预算!P5</f>
        <v>0</v>
      </c>
      <c r="I5">
        <f>SUM(E5:H5)</f>
        <v>1456.09</v>
      </c>
      <c r="J5">
        <f>D5-I5</f>
        <v>3343.91</v>
      </c>
    </row>
    <row r="6">
      <c r="A6" t="str">
        <v>J3大开支</v>
      </c>
      <c r="B6" t="str">
        <v>日用品</v>
      </c>
      <c r="C6">
        <f>月度预算!C6*3</f>
        <v>624.999999999999</v>
      </c>
      <c r="D6">
        <f>月度预算!C6*12</f>
        <v>2500</v>
      </c>
      <c r="E6">
        <f>月度预算!E6+月度预算!F6+月度预算!G6</f>
        <v>324.13</v>
      </c>
      <c r="F6">
        <f>月度预算!H6+月度预算!I6+月度预算!J6</f>
        <v>0</v>
      </c>
      <c r="G6">
        <f>月度预算!K6+月度预算!L6+月度预算!M6</f>
        <v>0</v>
      </c>
      <c r="H6">
        <f>月度预算!N6+月度预算!O6+月度预算!P6</f>
        <v>0</v>
      </c>
      <c r="I6">
        <f>SUM(E6:H6)</f>
        <v>324.13</v>
      </c>
      <c r="J6">
        <f>D6-I6</f>
        <v>2175.87</v>
      </c>
    </row>
    <row r="7">
      <c r="A7" t="str">
        <v>J3大开支</v>
      </c>
      <c r="B7" t="str">
        <v>化妆护肤</v>
      </c>
      <c r="C7">
        <f>月度预算!C7*3</f>
        <v>750</v>
      </c>
      <c r="D7">
        <f>月度预算!C7*12</f>
        <v>3000</v>
      </c>
      <c r="E7">
        <f>月度预算!E7+月度预算!F7+月度预算!G7</f>
        <v>2000</v>
      </c>
      <c r="F7">
        <f>月度预算!H7+月度预算!I7+月度预算!J7</f>
        <v>0</v>
      </c>
      <c r="G7">
        <f>月度预算!K7+月度预算!L7+月度预算!M7</f>
        <v>0</v>
      </c>
      <c r="H7">
        <f>月度预算!N7+月度预算!O7+月度预算!P7</f>
        <v>0</v>
      </c>
      <c r="I7">
        <f>SUM(E7:H7)</f>
        <v>2000</v>
      </c>
      <c r="J7">
        <f>D7-I7</f>
        <v>1000</v>
      </c>
    </row>
    <row r="8">
      <c r="A8" t="str">
        <v>J3大开支</v>
      </c>
      <c r="B8" t="str">
        <v>休闲娱乐</v>
      </c>
      <c r="C8">
        <f>月度预算!C8*3</f>
        <v>250</v>
      </c>
      <c r="D8">
        <f>月度预算!C8*12</f>
        <v>1000</v>
      </c>
      <c r="E8">
        <f>月度预算!E8+月度预算!F8+月度预算!G8</f>
        <v>394.2</v>
      </c>
      <c r="F8">
        <f>月度预算!H8+月度预算!I8+月度预算!J8</f>
        <v>0</v>
      </c>
      <c r="G8">
        <f>月度预算!K8+月度预算!L8+月度预算!M8</f>
        <v>0</v>
      </c>
      <c r="H8">
        <f>月度预算!N8+月度预算!O8+月度预算!P8</f>
        <v>0</v>
      </c>
      <c r="I8">
        <f>SUM(E8:H8)</f>
        <v>394.2</v>
      </c>
      <c r="J8">
        <f>D8-I8</f>
        <v>605.8</v>
      </c>
    </row>
    <row r="9">
      <c r="A9" t="str">
        <v>J3大开支</v>
      </c>
      <c r="B9" t="str">
        <v>医疗</v>
      </c>
      <c r="C9">
        <f>月度预算!C9*3</f>
        <v>125</v>
      </c>
      <c r="D9">
        <f>月度预算!C9*12</f>
        <v>500</v>
      </c>
      <c r="E9">
        <f>月度预算!E9+月度预算!F9+月度预算!G9</f>
        <v>81.3</v>
      </c>
      <c r="F9">
        <f>月度预算!H9+月度预算!I9+月度预算!J9</f>
        <v>0</v>
      </c>
      <c r="G9">
        <f>月度预算!K9+月度预算!L9+月度预算!M9</f>
        <v>0</v>
      </c>
      <c r="H9">
        <f>月度预算!N9+月度预算!O9+月度预算!P9</f>
        <v>0</v>
      </c>
      <c r="I9">
        <f>SUM(E9:H9)</f>
        <v>81.3</v>
      </c>
      <c r="J9">
        <f>D9-I9</f>
        <v>418.7</v>
      </c>
    </row>
    <row r="10">
      <c r="A10" t="str">
        <v>J3大开支</v>
      </c>
      <c r="B10" t="str">
        <v>居住费</v>
      </c>
      <c r="C10">
        <f>月度预算!C10*3</f>
        <v>999.999999999999</v>
      </c>
      <c r="D10">
        <f>月度预算!C10*12</f>
        <v>4000</v>
      </c>
      <c r="E10">
        <f>月度预算!E10+月度预算!F10+月度预算!G10</f>
        <v>49</v>
      </c>
      <c r="F10">
        <f>月度预算!H10+月度预算!I10+月度预算!J10</f>
        <v>0</v>
      </c>
      <c r="G10">
        <f>月度预算!K10+月度预算!L10+月度预算!M10</f>
        <v>0</v>
      </c>
      <c r="H10">
        <f>月度预算!N10+月度预算!O10+月度预算!P10</f>
        <v>0</v>
      </c>
      <c r="I10">
        <f>SUM(E10:H10)</f>
        <v>49</v>
      </c>
      <c r="J10">
        <f>D10-I10</f>
        <v>3951</v>
      </c>
    </row>
    <row r="11">
      <c r="A11" t="str">
        <v>J3大开支</v>
      </c>
      <c r="B11" t="str">
        <v>网费</v>
      </c>
      <c r="C11">
        <f>月度预算!C11*3</f>
        <v>300</v>
      </c>
      <c r="D11">
        <f>月度预算!C11*12</f>
        <v>1200</v>
      </c>
      <c r="E11">
        <f>月度预算!E11+月度预算!F11+月度预算!G11</f>
        <v>0</v>
      </c>
      <c r="F11">
        <f>月度预算!H11+月度预算!I11+月度预算!J11</f>
        <v>0</v>
      </c>
      <c r="G11">
        <f>月度预算!K11+月度预算!L11+月度预算!M11</f>
        <v>0</v>
      </c>
      <c r="H11">
        <f>月度预算!N11+月度预算!O11+月度预算!P11</f>
        <v>0</v>
      </c>
      <c r="I11">
        <f>SUM(E11:H11)</f>
        <v>0</v>
      </c>
      <c r="J11">
        <f>D11-I11</f>
        <v>1200</v>
      </c>
    </row>
    <row r="12">
      <c r="A12" t="str">
        <v>J3大开支</v>
      </c>
      <c r="B12" t="str">
        <v>话费</v>
      </c>
      <c r="C12">
        <f>月度预算!C12*3</f>
        <v>300</v>
      </c>
      <c r="D12">
        <f>月度预算!C12*12</f>
        <v>1200</v>
      </c>
      <c r="E12">
        <f>月度预算!E12+月度预算!F12+月度预算!G12</f>
        <v>105.5</v>
      </c>
      <c r="F12">
        <f>月度预算!H12+月度预算!I12+月度预算!J12</f>
        <v>0</v>
      </c>
      <c r="G12">
        <f>月度预算!K12+月度预算!L12+月度预算!M12</f>
        <v>0</v>
      </c>
      <c r="H12">
        <f>月度预算!N12+月度预算!O12+月度预算!P12</f>
        <v>0</v>
      </c>
      <c r="I12">
        <f>SUM(E12:H12)</f>
        <v>105.5</v>
      </c>
      <c r="J12">
        <f>D12-I12</f>
        <v>1094.5</v>
      </c>
    </row>
    <row r="13">
      <c r="A13" t="str">
        <v>J3大开支</v>
      </c>
      <c r="B13" t="str">
        <v>学习/付费充值</v>
      </c>
      <c r="C13">
        <f>月度预算!C13*3</f>
        <v>1250</v>
      </c>
      <c r="D13">
        <f>月度预算!C13*12</f>
        <v>5000</v>
      </c>
      <c r="E13">
        <f>月度预算!E13+月度预算!F13+月度预算!G13</f>
        <v>0</v>
      </c>
      <c r="F13">
        <f>月度预算!H13+月度预算!I13+月度预算!J13</f>
        <v>0</v>
      </c>
      <c r="G13">
        <f>月度预算!K13+月度预算!L13+月度预算!M13</f>
        <v>0</v>
      </c>
      <c r="H13">
        <f>月度预算!N13+月度预算!O13+月度预算!P13</f>
        <v>0</v>
      </c>
      <c r="I13">
        <f>SUM(E13:H13)</f>
        <v>0</v>
      </c>
      <c r="J13">
        <f>D13-I13</f>
        <v>5000</v>
      </c>
    </row>
    <row r="14">
      <c r="A14" t="str">
        <v>J3大开支</v>
      </c>
      <c r="B14" t="str">
        <v>衣服</v>
      </c>
      <c r="C14">
        <f>月度预算!C14*3</f>
        <v>375</v>
      </c>
      <c r="D14">
        <f>月度预算!C14*12</f>
        <v>1500</v>
      </c>
      <c r="E14">
        <f>月度预算!E14+月度预算!F14+月度预算!G14</f>
        <v>110</v>
      </c>
      <c r="F14">
        <f>月度预算!H14+月度预算!I14+月度预算!J14</f>
        <v>0</v>
      </c>
      <c r="G14">
        <f>月度预算!K14+月度预算!L14+月度预算!M14</f>
        <v>0</v>
      </c>
      <c r="H14">
        <f>月度预算!N14+月度预算!O14+月度预算!P14</f>
        <v>0</v>
      </c>
      <c r="I14">
        <f>SUM(E14:H14)</f>
        <v>110</v>
      </c>
      <c r="J14">
        <f>D14-I14</f>
        <v>1390</v>
      </c>
    </row>
    <row r="15">
      <c r="A15" t="str">
        <v>J3大开支</v>
      </c>
      <c r="B15" t="str">
        <v>数码家电</v>
      </c>
      <c r="C15">
        <f>月度预算!C15*3</f>
        <v>500.000000000001</v>
      </c>
      <c r="D15">
        <f>月度预算!C15*12</f>
        <v>2000</v>
      </c>
      <c r="E15">
        <f>月度预算!E15+月度预算!F15+月度预算!G15</f>
        <v>110</v>
      </c>
      <c r="F15">
        <f>月度预算!H15+月度预算!I15+月度预算!J15</f>
        <v>0</v>
      </c>
      <c r="G15">
        <f>月度预算!K15+月度预算!L15+月度预算!M15</f>
        <v>0</v>
      </c>
      <c r="H15">
        <f>月度预算!N15+月度预算!O15+月度预算!P15</f>
        <v>0</v>
      </c>
      <c r="I15">
        <f>SUM(E15:H15)</f>
        <v>110</v>
      </c>
      <c r="J15">
        <f>D15-I15</f>
        <v>1890</v>
      </c>
    </row>
    <row r="16">
      <c r="A16" t="str">
        <v>J3大开支</v>
      </c>
      <c r="B16" t="str">
        <v>社交送礼</v>
      </c>
      <c r="C16">
        <f>月度预算!C16*3</f>
        <v>750</v>
      </c>
      <c r="D16">
        <f>月度预算!C16*12</f>
        <v>3000</v>
      </c>
      <c r="E16">
        <f>月度预算!E16+月度预算!F16+月度预算!G16</f>
        <v>831.63</v>
      </c>
      <c r="F16">
        <f>月度预算!H16+月度预算!I16+月度预算!J16</f>
        <v>0</v>
      </c>
      <c r="G16">
        <f>月度预算!K16+月度预算!L16+月度预算!M16</f>
        <v>0</v>
      </c>
      <c r="H16">
        <f>月度预算!N16+月度预算!O16+月度预算!P16</f>
        <v>0</v>
      </c>
      <c r="I16">
        <f>SUM(E16:H16)</f>
        <v>831.63</v>
      </c>
      <c r="J16">
        <f>D16-I16</f>
        <v>2168.37</v>
      </c>
    </row>
    <row r="17">
      <c r="A17" t="str">
        <v>J3大开支</v>
      </c>
      <c r="B17" t="str">
        <v>保险</v>
      </c>
      <c r="C17">
        <f>月度预算!C17*3</f>
        <v>3750</v>
      </c>
      <c r="D17">
        <f>月度预算!C17*12</f>
        <v>15000</v>
      </c>
      <c r="E17">
        <f>月度预算!E17+月度预算!F17+月度预算!G17</f>
        <v>45.29</v>
      </c>
      <c r="F17">
        <f>月度预算!H17+月度预算!I17+月度预算!J17</f>
        <v>0</v>
      </c>
      <c r="G17">
        <f>月度预算!K17+月度预算!L17+月度预算!M17</f>
        <v>0</v>
      </c>
      <c r="H17">
        <f>月度预算!N17+月度预算!O17+月度预算!P17</f>
        <v>0</v>
      </c>
      <c r="I17">
        <f>SUM(E17:H17)</f>
        <v>45.29</v>
      </c>
      <c r="J17">
        <f>D17-I17</f>
        <v>14954.71</v>
      </c>
    </row>
    <row r="18">
      <c r="A18" t="str">
        <v>J3大开支</v>
      </c>
      <c r="B18" t="str">
        <v>剪发</v>
      </c>
      <c r="C18">
        <f>月度预算!C18*3</f>
        <v>300</v>
      </c>
      <c r="D18">
        <f>月度预算!C18*12</f>
        <v>1200</v>
      </c>
      <c r="E18">
        <f>月度预算!E18+月度预算!F18+月度预算!G18</f>
        <v>0</v>
      </c>
      <c r="F18">
        <f>月度预算!H18+月度预算!I18+月度预算!J18</f>
        <v>0</v>
      </c>
      <c r="G18">
        <f>月度预算!K18+月度预算!L18+月度预算!M18</f>
        <v>0</v>
      </c>
      <c r="H18">
        <f>月度预算!N18+月度预算!O18+月度预算!P18</f>
        <v>0</v>
      </c>
      <c r="I18">
        <f>SUM(E18:H18)</f>
        <v>0</v>
      </c>
      <c r="J18">
        <f>D18-I18</f>
        <v>1200</v>
      </c>
    </row>
    <row r="19">
      <c r="A19" t="str">
        <v>J3大开支</v>
      </c>
      <c r="B19" t="str">
        <v>看剧</v>
      </c>
      <c r="C19">
        <f>月度预算!C19*3</f>
        <v>375</v>
      </c>
      <c r="D19">
        <f>月度预算!C19*12</f>
        <v>1500</v>
      </c>
      <c r="E19">
        <f>月度预算!E19+月度预算!F19+月度预算!G19</f>
        <v>679.9</v>
      </c>
      <c r="F19">
        <f>月度预算!H19+月度预算!I19+月度预算!J19</f>
        <v>0</v>
      </c>
      <c r="G19">
        <f>月度预算!K19+月度预算!L19+月度预算!M19</f>
        <v>0</v>
      </c>
      <c r="H19">
        <f>月度预算!N19+月度预算!O19+月度预算!P19</f>
        <v>0</v>
      </c>
      <c r="I19">
        <f>SUM(E19:H19)</f>
        <v>679.9</v>
      </c>
      <c r="J19">
        <f>D19-I19</f>
        <v>820.1</v>
      </c>
    </row>
    <row r="20">
      <c r="C20">
        <f>SUM(C3:C19)</f>
        <v>22050</v>
      </c>
      <c r="D20">
        <f>SUM(D3:D19)</f>
        <v>88200</v>
      </c>
      <c r="E20">
        <f>SUM(E3:E19)</f>
        <v>10803.1</v>
      </c>
      <c r="F20">
        <f>SUM(F3:F19)</f>
        <v>0</v>
      </c>
      <c r="G20">
        <f>SUM(G3:G19)</f>
        <v>0</v>
      </c>
      <c r="H20">
        <f>SUM(H3:H19)</f>
        <v>0</v>
      </c>
      <c r="I20">
        <f>SUM(I3:I19)</f>
        <v>10803.1</v>
      </c>
      <c r="J20">
        <v>12200</v>
      </c>
    </row>
    <row r="22">
      <c r="A22" t="str">
        <v>一级分类</v>
      </c>
      <c r="B22" t="str">
        <v>二级分类</v>
      </c>
      <c r="C22" t="str">
        <v>季度预算</v>
      </c>
      <c r="D22" t="str">
        <v>年度预算</v>
      </c>
      <c r="E22" t="str">
        <v>Q1</v>
      </c>
      <c r="F22" t="str">
        <v>Q2</v>
      </c>
      <c r="G22" t="str">
        <v>Q3</v>
      </c>
      <c r="H22" t="str">
        <v>Q4</v>
      </c>
      <c r="I22" t="str">
        <v>总计</v>
      </c>
      <c r="J22" t="str">
        <v>剩余</v>
      </c>
    </row>
    <row r="23">
      <c r="A23" t="str">
        <v>JX日常</v>
      </c>
      <c r="B23" t="str">
        <v>吃喝</v>
      </c>
      <c r="C23">
        <f>月度预算!C25*3</f>
        <v>9000</v>
      </c>
      <c r="D23">
        <f>月度预算!C25*12</f>
        <v>36000</v>
      </c>
      <c r="E23">
        <f>月度预算!E25+月度预算!F25+月度预算!G25</f>
        <v>3643.63658</v>
      </c>
      <c r="F23">
        <f>月度预算!F25+月度预算!G25+月度预算!H25</f>
        <v>1050.88</v>
      </c>
      <c r="G23">
        <f>月度预算!G25+月度预算!H25+月度预算!I25</f>
        <v>0</v>
      </c>
      <c r="H23">
        <f>月度预算!H25+月度预算!I25+月度预算!J25</f>
        <v>0</v>
      </c>
      <c r="I23">
        <f>SUM(E23:H23)</f>
        <v>4694.51658</v>
      </c>
      <c r="J23">
        <f>D23-I23</f>
        <v>31305.48342</v>
      </c>
    </row>
    <row r="24">
      <c r="A24" t="str">
        <v>JX日常</v>
      </c>
      <c r="B24" t="str">
        <v>交通</v>
      </c>
      <c r="C24">
        <f>月度预算!C26*3</f>
        <v>3000</v>
      </c>
      <c r="D24">
        <f>月度预算!C26*12</f>
        <v>12000</v>
      </c>
      <c r="E24">
        <f>月度预算!E26+月度预算!F26+月度预算!G26</f>
        <v>1495.9586</v>
      </c>
      <c r="F24">
        <f>月度预算!F26+月度预算!G26+月度预算!H26</f>
        <v>484.784</v>
      </c>
      <c r="G24">
        <f>月度预算!G26+月度预算!H26+月度预算!I26</f>
        <v>0</v>
      </c>
      <c r="H24">
        <f>月度预算!H26+月度预算!I26+月度预算!J26</f>
        <v>0</v>
      </c>
      <c r="I24">
        <f>SUM(E24:H24)</f>
        <v>1980.7426</v>
      </c>
      <c r="J24">
        <f>D24-I24</f>
        <v>10019.2574</v>
      </c>
    </row>
    <row r="25">
      <c r="A25" t="str">
        <v>JX大开支</v>
      </c>
      <c r="B25" t="str">
        <v>日用品</v>
      </c>
      <c r="C25">
        <f>月度预算!C27*3</f>
        <v>1500</v>
      </c>
      <c r="D25">
        <f>月度预算!C27*12</f>
        <v>6000</v>
      </c>
      <c r="E25">
        <f>月度预算!E27+月度预算!F27+月度预算!G27</f>
        <v>954.95</v>
      </c>
      <c r="F25">
        <f>月度预算!F27+月度预算!G27+月度预算!H27</f>
        <v>626</v>
      </c>
      <c r="G25">
        <f>月度预算!G27+月度预算!H27+月度预算!I27</f>
        <v>0</v>
      </c>
      <c r="H25">
        <f>月度预算!H27+月度预算!I27+月度预算!J27</f>
        <v>0</v>
      </c>
      <c r="I25">
        <f>SUM(E25:H25)</f>
        <v>1580.95</v>
      </c>
      <c r="J25">
        <f>D25-I25</f>
        <v>4419.05</v>
      </c>
    </row>
    <row r="26">
      <c r="A26" t="str">
        <v>JX大开支</v>
      </c>
      <c r="B26" t="str">
        <v>化妆护肤</v>
      </c>
      <c r="C26">
        <f>月度预算!C28*3</f>
        <v>1250</v>
      </c>
      <c r="D26">
        <f>月度预算!C28*12</f>
        <v>5000</v>
      </c>
      <c r="E26">
        <f>月度预算!E28+月度预算!F28+月度预算!G28</f>
        <v>0</v>
      </c>
      <c r="F26">
        <f>月度预算!F28+月度预算!G28+月度预算!H28</f>
        <v>0</v>
      </c>
      <c r="G26">
        <f>月度预算!G28+月度预算!H28+月度预算!I28</f>
        <v>0</v>
      </c>
      <c r="H26">
        <f>月度预算!H28+月度预算!I28+月度预算!J28</f>
        <v>0</v>
      </c>
      <c r="I26">
        <f>SUM(E26:H26)</f>
        <v>0</v>
      </c>
      <c r="J26">
        <f>D26-I26</f>
        <v>5000</v>
      </c>
    </row>
    <row r="27">
      <c r="A27" t="str">
        <v>JX大开支</v>
      </c>
      <c r="B27" t="str">
        <v>居住费</v>
      </c>
      <c r="C27">
        <f>月度预算!C29*3</f>
        <v>500.000000000001</v>
      </c>
      <c r="D27">
        <f>月度预算!C29*12</f>
        <v>2000</v>
      </c>
      <c r="E27">
        <f>月度预算!E29+月度预算!F29+月度预算!G29</f>
        <v>205</v>
      </c>
      <c r="F27">
        <f>月度预算!F29+月度预算!G29+月度预算!H29</f>
        <v>32.8</v>
      </c>
      <c r="G27">
        <f>月度预算!G29+月度预算!H29+月度预算!I29</f>
        <v>0</v>
      </c>
      <c r="H27">
        <f>月度预算!H29+月度预算!I29+月度预算!J29</f>
        <v>0</v>
      </c>
      <c r="I27">
        <f>SUM(E27:H27)</f>
        <v>237.8</v>
      </c>
      <c r="J27">
        <f>D27-I27</f>
        <v>1762.2</v>
      </c>
    </row>
    <row r="28">
      <c r="A28" t="str">
        <v>JX大开支</v>
      </c>
      <c r="B28" t="str">
        <v>话费</v>
      </c>
      <c r="C28">
        <f>月度预算!C30*3</f>
        <v>150</v>
      </c>
      <c r="D28">
        <f>月度预算!C30*12</f>
        <v>600</v>
      </c>
      <c r="E28">
        <f>月度预算!E30+月度预算!F30+月度预算!G30</f>
        <v>0</v>
      </c>
      <c r="F28">
        <f>月度预算!F30+月度预算!G30+月度预算!H30</f>
        <v>0</v>
      </c>
      <c r="G28">
        <f>月度预算!G30+月度预算!H30+月度预算!I30</f>
        <v>0</v>
      </c>
      <c r="H28">
        <f>月度预算!H30+月度预算!I30+月度预算!J30</f>
        <v>0</v>
      </c>
      <c r="I28">
        <f>SUM(E28:H28)</f>
        <v>0</v>
      </c>
      <c r="J28">
        <f>D28-I28</f>
        <v>600</v>
      </c>
    </row>
    <row r="29">
      <c r="A29" t="str">
        <v>JX大开支</v>
      </c>
      <c r="B29" t="str">
        <v>学习/付费充值</v>
      </c>
      <c r="C29">
        <f>月度预算!C31*3</f>
        <v>900</v>
      </c>
      <c r="D29">
        <f>月度预算!C31*12</f>
        <v>3600</v>
      </c>
      <c r="E29">
        <f>月度预算!E31+月度预算!F31+月度预算!G31</f>
        <v>0</v>
      </c>
      <c r="F29">
        <f>月度预算!F31+月度预算!G31+月度预算!H31</f>
        <v>0</v>
      </c>
      <c r="G29">
        <f>月度预算!G31+月度预算!H31+月度预算!I31</f>
        <v>0</v>
      </c>
      <c r="H29">
        <f>月度预算!H31+月度预算!I31+月度预算!J31</f>
        <v>0</v>
      </c>
      <c r="I29">
        <f>SUM(E29:H29)</f>
        <v>0</v>
      </c>
      <c r="J29">
        <f>D29-I29</f>
        <v>3600</v>
      </c>
    </row>
    <row r="30">
      <c r="A30" t="str">
        <v>JX大开支</v>
      </c>
      <c r="B30" t="str">
        <v>衣服</v>
      </c>
      <c r="C30">
        <f>月度预算!C32*3</f>
        <v>3000</v>
      </c>
      <c r="D30">
        <f>月度预算!C32*12</f>
        <v>12000</v>
      </c>
      <c r="E30">
        <f>月度预算!E32+月度预算!F32+月度预算!G32</f>
        <v>0</v>
      </c>
      <c r="F30">
        <f>月度预算!F32+月度预算!G32+月度预算!H32</f>
        <v>0</v>
      </c>
      <c r="G30">
        <f>月度预算!G32+月度预算!H32+月度预算!I32</f>
        <v>0</v>
      </c>
      <c r="H30">
        <f>月度预算!H32+月度预算!I32+月度预算!J32</f>
        <v>0</v>
      </c>
      <c r="I30">
        <f>SUM(E30:H30)</f>
        <v>0</v>
      </c>
      <c r="J30">
        <f>D30-I30</f>
        <v>12000</v>
      </c>
    </row>
    <row r="31">
      <c r="A31" t="str">
        <v>JX大开支</v>
      </c>
      <c r="B31" t="str">
        <v>社交送礼</v>
      </c>
      <c r="C31">
        <f>月度预算!C33*3</f>
        <v>750</v>
      </c>
      <c r="D31">
        <f>月度预算!C33*12</f>
        <v>3000</v>
      </c>
      <c r="E31">
        <f>月度预算!E33+月度预算!F33+月度预算!G33</f>
        <v>1543.552</v>
      </c>
      <c r="F31">
        <f>月度预算!F33+月度预算!G33+月度预算!H33</f>
        <v>1543.552</v>
      </c>
      <c r="G31">
        <f>月度预算!G33+月度预算!H33+月度预算!I33</f>
        <v>0</v>
      </c>
      <c r="H31">
        <f>月度预算!H33+月度预算!I33+月度预算!J33</f>
        <v>0</v>
      </c>
      <c r="I31">
        <f>SUM(E31:H31)</f>
        <v>3087.104</v>
      </c>
      <c r="J31">
        <f>D31-I31</f>
        <v>-87.1039999999998</v>
      </c>
    </row>
    <row r="32">
      <c r="A32" t="str">
        <v>JX大开支</v>
      </c>
      <c r="B32" t="str">
        <v>剪发</v>
      </c>
      <c r="C32">
        <f>月度预算!C34*3</f>
        <v>250</v>
      </c>
      <c r="D32">
        <f>月度预算!C34*12</f>
        <v>1000</v>
      </c>
      <c r="E32">
        <f>月度预算!E34+月度预算!F34+月度预算!G34</f>
        <v>0</v>
      </c>
      <c r="F32">
        <f>月度预算!F34+月度预算!G34+月度预算!H34</f>
        <v>0</v>
      </c>
      <c r="G32">
        <f>月度预算!G34+月度预算!H34+月度预算!I34</f>
        <v>0</v>
      </c>
      <c r="H32">
        <f>月度预算!H34+月度预算!I34+月度预算!J34</f>
        <v>0</v>
      </c>
      <c r="I32">
        <f>SUM(E32:H32)</f>
        <v>0</v>
      </c>
      <c r="J32">
        <f>D32-I32</f>
        <v>1000</v>
      </c>
    </row>
    <row r="33">
      <c r="A33" t="str">
        <v>JX大开支</v>
      </c>
      <c r="B33" t="str">
        <v>爱好</v>
      </c>
      <c r="C33">
        <f>月度预算!C35*3</f>
        <v>6000</v>
      </c>
      <c r="D33">
        <f>月度预算!C35*12</f>
        <v>24000</v>
      </c>
      <c r="E33">
        <f>月度预算!E35+月度预算!F35+月度预算!G35</f>
        <v>503</v>
      </c>
      <c r="F33">
        <f>月度预算!F35+月度预算!G35+月度预算!H35</f>
        <v>0</v>
      </c>
      <c r="G33">
        <f>月度预算!G35+月度预算!H35+月度预算!I35</f>
        <v>0</v>
      </c>
      <c r="H33">
        <f>月度预算!H35+月度预算!I35+月度预算!J35</f>
        <v>0</v>
      </c>
      <c r="I33">
        <f>SUM(E33:H33)</f>
        <v>503</v>
      </c>
      <c r="J33">
        <f>D33-I33</f>
        <v>23497</v>
      </c>
    </row>
    <row r="34">
      <c r="A34" t="str">
        <v>JX大开支</v>
      </c>
      <c r="B34" t="str">
        <v>父母</v>
      </c>
      <c r="C34">
        <f>月度预算!C36*3</f>
        <v>12250</v>
      </c>
      <c r="D34">
        <f>月度预算!C36*12</f>
        <v>49000</v>
      </c>
      <c r="E34">
        <f>月度预算!E36+月度预算!F36+月度预算!G36</f>
        <v>0</v>
      </c>
      <c r="F34">
        <f>月度预算!F36+月度预算!G36+月度预算!H36</f>
        <v>0</v>
      </c>
      <c r="G34">
        <f>月度预算!G36+月度预算!H36+月度预算!I36</f>
        <v>0</v>
      </c>
      <c r="H34">
        <f>月度预算!H36+月度预算!I36+月度预算!J36</f>
        <v>0</v>
      </c>
      <c r="I34">
        <f>SUM(E34:H34)</f>
        <v>0</v>
      </c>
      <c r="J34">
        <f>D34-I34</f>
        <v>49000</v>
      </c>
    </row>
    <row r="35">
      <c r="C35">
        <f>SUM(C23:C34)</f>
        <v>38550</v>
      </c>
      <c r="D35">
        <f>SUM(D23:D34)</f>
        <v>154200</v>
      </c>
      <c r="E35">
        <v>0</v>
      </c>
      <c r="F35">
        <v>0</v>
      </c>
      <c r="G35">
        <v>0</v>
      </c>
      <c r="H35">
        <v>0</v>
      </c>
      <c r="I35">
        <v>0</v>
      </c>
      <c r="J35">
        <v>12200</v>
      </c>
    </row>
    <row r="37">
      <c r="A37" t="str">
        <v>一级分类</v>
      </c>
      <c r="B37" t="str">
        <v>二级分类</v>
      </c>
      <c r="C37" t="str">
        <v>季度预算</v>
      </c>
      <c r="D37" t="str">
        <v>年度预算</v>
      </c>
      <c r="E37" t="str">
        <v>Q1</v>
      </c>
      <c r="F37" t="str">
        <v>Q2</v>
      </c>
      <c r="G37" t="str">
        <v>Q3</v>
      </c>
      <c r="H37" t="str">
        <v>Q4</v>
      </c>
      <c r="I37" t="str">
        <v>总计</v>
      </c>
      <c r="J37" t="str">
        <v>剩余</v>
      </c>
    </row>
    <row r="38">
      <c r="A38" t="str">
        <v>共同大开支</v>
      </c>
      <c r="B38" t="str">
        <v>旅游</v>
      </c>
      <c r="C38">
        <f>月度预算!C42*3</f>
        <v>15000</v>
      </c>
      <c r="D38">
        <f>月度预算!C42*12</f>
        <v>60000</v>
      </c>
      <c r="E38">
        <f>月度预算!E42+月度预算!F42+月度预算!G42</f>
        <v>11912.47</v>
      </c>
      <c r="F38">
        <f>月度预算!F42+月度预算!G42+月度预算!H42</f>
        <v>0</v>
      </c>
      <c r="G38">
        <f>月度预算!G42+月度预算!H42+月度预算!I42</f>
        <v>0</v>
      </c>
      <c r="H38">
        <f>月度预算!H42+月度预算!I42+月度预算!J42</f>
        <v>0</v>
      </c>
      <c r="I38">
        <f>SUM(E38:H38)</f>
        <v>11912.47</v>
      </c>
      <c r="J38">
        <f>C38-I38</f>
        <v>3087.53</v>
      </c>
    </row>
    <row r="39">
      <c r="C39">
        <f>SUM(C38)</f>
        <v>15000</v>
      </c>
      <c r="D39">
        <f>SUM(D38)</f>
        <v>60000</v>
      </c>
      <c r="E39">
        <v>0</v>
      </c>
      <c r="F39">
        <v>0</v>
      </c>
      <c r="G39">
        <v>0</v>
      </c>
      <c r="H39">
        <v>0</v>
      </c>
      <c r="I39">
        <v>0</v>
      </c>
      <c r="J39">
        <v>104200</v>
      </c>
    </row>
  </sheetData>
  <pageMargins left="0.75" right="0.75" top="1" bottom="1" header="0.5" footer="0.5"/>
  <ignoredErrors>
    <ignoredError numberStoredAsText="1" sqref="A1:L19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68"/>
  <sheetViews>
    <sheetView workbookViewId="0" rightToLeft="0"/>
  </sheetViews>
  <sheetData>
    <row r="1">
      <c r="A1" t="str">
        <v>日期</v>
      </c>
      <c r="B1" t="str">
        <v>分类</v>
      </c>
      <c r="C1" t="str">
        <v>明细</v>
      </c>
      <c r="D1" t="str">
        <v>金额IDR</v>
      </c>
      <c r="E1" t="str">
        <v>金额RMB</v>
      </c>
      <c r="G1" t="str">
        <v>当日合计</v>
      </c>
      <c r="J1" t="str">
        <v>日均销</v>
      </c>
      <c r="L1" t="str">
        <v>2/5机票</v>
      </c>
      <c r="M1">
        <v>6441</v>
      </c>
    </row>
    <row r="2">
      <c r="A2">
        <v>46033</v>
      </c>
      <c r="B2" t="str">
        <v>吃喝</v>
      </c>
      <c r="C2" t="str">
        <v>早餐</v>
      </c>
      <c r="D2">
        <f>55000+82000</f>
        <v>137000</v>
      </c>
      <c r="E2">
        <f>D2*0.00042</f>
        <v>57.54</v>
      </c>
      <c r="G2">
        <v>46033</v>
      </c>
      <c r="H2">
        <f>SUMIFS(E:E,A:A,G2)</f>
        <v>642.513</v>
      </c>
      <c r="J2">
        <f>AVERAGEIF(H:H,"&gt;0",H:H)</f>
        <v>226.099103809524</v>
      </c>
      <c r="L2" t="str">
        <v>2/18机票</v>
      </c>
      <c r="M2">
        <v>2468</v>
      </c>
    </row>
    <row r="3">
      <c r="A3">
        <v>46033</v>
      </c>
      <c r="B3" t="str">
        <v>爱好</v>
      </c>
      <c r="C3" t="str">
        <v>泡泡玛特</v>
      </c>
      <c r="E3">
        <v>402</v>
      </c>
      <c r="G3">
        <v>46034</v>
      </c>
      <c r="H3">
        <f>SUMIFS(E:E,A:A,G3)</f>
        <v>268.994</v>
      </c>
      <c r="L3" t="str">
        <v>科莫多机票</v>
      </c>
      <c r="M3">
        <v>3080</v>
      </c>
    </row>
    <row r="4">
      <c r="A4">
        <v>46033</v>
      </c>
      <c r="B4" t="str">
        <v>居住费</v>
      </c>
      <c r="C4" t="str">
        <v>阿姨打扫</v>
      </c>
      <c r="D4">
        <v>80000</v>
      </c>
      <c r="E4">
        <f>D4*0.00042</f>
        <v>33.6</v>
      </c>
      <c r="G4">
        <v>46035</v>
      </c>
      <c r="H4">
        <f>SUMIFS(E:E,A:A,G4)</f>
        <v>245.846</v>
      </c>
    </row>
    <row r="5">
      <c r="A5">
        <v>46033</v>
      </c>
      <c r="B5" t="str">
        <v>交通</v>
      </c>
      <c r="C5" t="str">
        <v>上下班</v>
      </c>
      <c r="D5">
        <f>22700+23700+70600+5100+103250</f>
        <v>225350</v>
      </c>
      <c r="E5">
        <f>D5*0.00042</f>
        <v>94.647</v>
      </c>
      <c r="G5">
        <v>46036</v>
      </c>
      <c r="H5">
        <f>SUMIFS(E:E,A:A,G5)</f>
        <v>139.354</v>
      </c>
    </row>
    <row r="6">
      <c r="A6">
        <v>46033</v>
      </c>
      <c r="B6" t="str">
        <v>吃喝</v>
      </c>
      <c r="C6" t="str">
        <v>超市</v>
      </c>
      <c r="D6">
        <v>130300</v>
      </c>
      <c r="E6">
        <f>D6*0.00042</f>
        <v>54.726</v>
      </c>
      <c r="G6">
        <v>46037</v>
      </c>
      <c r="H6">
        <f>SUMIFS(E:E,A:A,G6)</f>
        <v>277.04</v>
      </c>
    </row>
    <row r="7">
      <c r="A7">
        <v>46034</v>
      </c>
      <c r="B7" t="str">
        <v>交通</v>
      </c>
      <c r="C7" t="str">
        <v>下班</v>
      </c>
      <c r="D7">
        <v>52200</v>
      </c>
      <c r="E7">
        <f>D7*0.00042</f>
        <v>21.924</v>
      </c>
      <c r="G7">
        <v>46038</v>
      </c>
      <c r="H7">
        <f>SUMIFS(E:E,A:A,G7)</f>
        <v>157.92</v>
      </c>
    </row>
    <row r="8">
      <c r="A8">
        <v>46034</v>
      </c>
      <c r="B8" t="str">
        <v>吃喝</v>
      </c>
      <c r="C8" t="str">
        <v>午餐晚餐</v>
      </c>
      <c r="D8">
        <f>78000+36000</f>
        <v>114000</v>
      </c>
      <c r="E8">
        <f>D8*0.00042</f>
        <v>47.88</v>
      </c>
      <c r="G8">
        <v>46039</v>
      </c>
      <c r="H8">
        <f>SUMIFS(E:E,A:A,G8)</f>
        <v>149.294</v>
      </c>
    </row>
    <row r="9">
      <c r="A9">
        <v>46034</v>
      </c>
      <c r="B9" t="str">
        <v>日用品</v>
      </c>
      <c r="C9" t="str">
        <v>净化器滤芯</v>
      </c>
      <c r="D9">
        <v>299000</v>
      </c>
      <c r="E9">
        <f>D9*0.00042</f>
        <v>125.58</v>
      </c>
      <c r="G9">
        <v>46040</v>
      </c>
      <c r="H9">
        <f>SUMIFS(E:E,A:A,G9)</f>
        <v>211.4928</v>
      </c>
    </row>
    <row r="10">
      <c r="A10">
        <v>46034</v>
      </c>
      <c r="B10" t="str">
        <v>吃喝</v>
      </c>
      <c r="C10" t="str">
        <v>奶茶</v>
      </c>
      <c r="E10">
        <v>28</v>
      </c>
      <c r="G10">
        <v>46041</v>
      </c>
      <c r="H10">
        <f>SUMIFS(E:E,A:A,G10)</f>
        <v>132.648</v>
      </c>
    </row>
    <row r="11">
      <c r="A11">
        <v>46034</v>
      </c>
      <c r="B11" t="str">
        <v>吃喝</v>
      </c>
      <c r="C11" t="str">
        <v>超市</v>
      </c>
      <c r="E11">
        <f>16.72+28.89</f>
        <v>45.61</v>
      </c>
      <c r="G11">
        <v>46042</v>
      </c>
      <c r="H11">
        <f>SUMIFS(E:E,A:A,G11)</f>
        <v>242.836</v>
      </c>
    </row>
    <row r="12">
      <c r="A12">
        <v>46035</v>
      </c>
      <c r="B12" t="str">
        <v>吃喝</v>
      </c>
      <c r="C12" t="str">
        <v>晚餐</v>
      </c>
      <c r="E12">
        <v>32.98</v>
      </c>
      <c r="G12">
        <v>46043</v>
      </c>
      <c r="H12">
        <f>SUMIFS(E:E,A:A,G12)</f>
        <v>176.074</v>
      </c>
    </row>
    <row r="13">
      <c r="A13">
        <v>46035</v>
      </c>
      <c r="B13" t="str">
        <v>日用品</v>
      </c>
      <c r="C13" t="str">
        <v>超市</v>
      </c>
      <c r="E13">
        <v>135.25</v>
      </c>
      <c r="G13">
        <v>46044</v>
      </c>
      <c r="H13">
        <f>SUMIFS(E:E,A:A,G13)</f>
        <v>226</v>
      </c>
    </row>
    <row r="14">
      <c r="A14">
        <v>46035</v>
      </c>
      <c r="B14" t="str">
        <v>吃喝</v>
      </c>
      <c r="C14" t="str">
        <v>午餐</v>
      </c>
      <c r="D14">
        <v>184800</v>
      </c>
      <c r="E14">
        <f>D14*0.00042</f>
        <v>77.616</v>
      </c>
      <c r="G14">
        <v>46045</v>
      </c>
      <c r="H14">
        <f>SUMIFS(E:E,A:A,G14)</f>
        <v>178.326</v>
      </c>
    </row>
    <row r="15">
      <c r="A15">
        <v>46036</v>
      </c>
      <c r="B15" t="str">
        <v>交通</v>
      </c>
      <c r="C15" t="str">
        <v>上下班</v>
      </c>
      <c r="D15">
        <f>31900+29900</f>
        <v>61800</v>
      </c>
      <c r="E15">
        <f>D15*0.00042</f>
        <v>25.956</v>
      </c>
      <c r="G15">
        <v>46046</v>
      </c>
      <c r="H15">
        <f>SUMIFS(E:E,A:A,G15)</f>
        <v>313.518</v>
      </c>
    </row>
    <row r="16">
      <c r="A16">
        <v>46036</v>
      </c>
      <c r="B16" t="str">
        <v>吃喝</v>
      </c>
      <c r="C16" t="str">
        <v>午餐</v>
      </c>
      <c r="E16">
        <v>65</v>
      </c>
      <c r="G16">
        <v>46047</v>
      </c>
      <c r="H16">
        <f>SUMIFS(E:E,A:A,G16)</f>
        <v>312.092</v>
      </c>
    </row>
    <row r="17">
      <c r="A17">
        <v>46036</v>
      </c>
      <c r="B17" t="str">
        <v>吃喝</v>
      </c>
      <c r="C17" t="str">
        <v>晚餐</v>
      </c>
      <c r="D17">
        <v>86900</v>
      </c>
      <c r="E17">
        <f>D17*0.00042</f>
        <v>36.498</v>
      </c>
      <c r="G17">
        <v>46048</v>
      </c>
      <c r="H17">
        <f>SUMIFS(E:E,A:A,G17)</f>
        <v>95.93</v>
      </c>
    </row>
    <row r="18">
      <c r="A18">
        <v>46036</v>
      </c>
      <c r="B18" t="str">
        <v>吃喝</v>
      </c>
      <c r="C18" t="str">
        <v>超市</v>
      </c>
      <c r="E18">
        <v>11.9</v>
      </c>
      <c r="G18">
        <v>46049</v>
      </c>
      <c r="H18">
        <f>SUMIFS(E:E,A:A,G18)</f>
        <v>268</v>
      </c>
    </row>
    <row r="19">
      <c r="A19">
        <v>46037</v>
      </c>
      <c r="B19" t="str">
        <v>交通</v>
      </c>
      <c r="C19" t="str">
        <v>上下班</v>
      </c>
      <c r="D19">
        <f>20000+62300+75200</f>
        <v>157500</v>
      </c>
      <c r="E19">
        <f>D19*0.00042</f>
        <v>66.15</v>
      </c>
      <c r="G19">
        <v>46050</v>
      </c>
      <c r="H19">
        <f>SUMIFS(E:E,A:A,G19)</f>
        <v>90</v>
      </c>
    </row>
    <row r="20">
      <c r="A20">
        <v>46037</v>
      </c>
      <c r="B20" t="str">
        <v>吃喝</v>
      </c>
      <c r="C20" t="str">
        <v>饮料</v>
      </c>
      <c r="E20">
        <f>13.34+10.43</f>
        <v>23.77</v>
      </c>
      <c r="G20">
        <v>46051</v>
      </c>
      <c r="H20">
        <f>SUMIFS(E:E,A:A,G20)</f>
        <v>279.21338</v>
      </c>
    </row>
    <row r="21">
      <c r="A21">
        <v>46037</v>
      </c>
      <c r="B21" t="str">
        <v>吃喝</v>
      </c>
      <c r="C21" t="str">
        <v>午餐</v>
      </c>
      <c r="E21">
        <v>56.72</v>
      </c>
      <c r="G21">
        <v>46052</v>
      </c>
      <c r="H21">
        <f>SUMIFS(E:E,A:A,G21)</f>
        <v>143.49</v>
      </c>
    </row>
    <row r="22">
      <c r="A22">
        <v>46037</v>
      </c>
      <c r="B22" t="str">
        <v>吃喝</v>
      </c>
      <c r="C22" t="str">
        <v>晚餐</v>
      </c>
      <c r="D22">
        <v>70000</v>
      </c>
      <c r="E22">
        <f>D22*0.00042</f>
        <v>29.4</v>
      </c>
      <c r="G22">
        <v>46053</v>
      </c>
      <c r="H22">
        <f>SUMIFS(E:E,A:A,G22)</f>
        <v>197.5</v>
      </c>
    </row>
    <row r="23">
      <c r="A23">
        <v>46037</v>
      </c>
      <c r="B23" t="str">
        <v>爱好</v>
      </c>
      <c r="C23" t="str">
        <v>打球</v>
      </c>
      <c r="E23">
        <v>101</v>
      </c>
    </row>
    <row r="24">
      <c r="A24">
        <v>46038</v>
      </c>
      <c r="B24" t="str">
        <v>吃喝</v>
      </c>
      <c r="C24" t="str">
        <v>奶茶</v>
      </c>
      <c r="D24">
        <v>160700</v>
      </c>
      <c r="E24">
        <f>D24*0.00042</f>
        <v>67.494</v>
      </c>
    </row>
    <row r="25">
      <c r="A25">
        <v>46038</v>
      </c>
      <c r="B25" t="str">
        <v>吃喝</v>
      </c>
      <c r="C25" t="str">
        <v>超市</v>
      </c>
      <c r="D25">
        <v>118500</v>
      </c>
      <c r="E25">
        <f>D25*0.00042</f>
        <v>49.77</v>
      </c>
    </row>
    <row r="26">
      <c r="A26">
        <v>46038</v>
      </c>
      <c r="B26" t="str">
        <v>吃喝</v>
      </c>
      <c r="C26" t="str">
        <v>晚餐</v>
      </c>
      <c r="D26">
        <v>96800</v>
      </c>
      <c r="E26">
        <f>D26*0.00042</f>
        <v>40.656</v>
      </c>
    </row>
    <row r="27">
      <c r="A27">
        <v>46039</v>
      </c>
      <c r="B27" t="str">
        <v>吃喝</v>
      </c>
      <c r="C27" t="str">
        <v>午餐晚餐</v>
      </c>
      <c r="D27">
        <f>145200+102500</f>
        <v>247700</v>
      </c>
      <c r="E27">
        <f>D27*0.00042</f>
        <v>104.034</v>
      </c>
    </row>
    <row r="28">
      <c r="A28">
        <v>46039</v>
      </c>
      <c r="B28" t="str">
        <v>日用品</v>
      </c>
      <c r="C28" t="str">
        <v>超市</v>
      </c>
      <c r="E28">
        <v>45.26</v>
      </c>
    </row>
    <row r="29">
      <c r="A29">
        <v>46040</v>
      </c>
      <c r="B29" t="str">
        <v>交通</v>
      </c>
      <c r="C29" t="str">
        <v>上下班</v>
      </c>
      <c r="D29">
        <f>22700+189500+23180+23700</f>
        <v>259080</v>
      </c>
      <c r="E29">
        <f>D29*0.00042</f>
        <v>108.8136</v>
      </c>
    </row>
    <row r="30">
      <c r="A30">
        <v>46040</v>
      </c>
      <c r="B30" t="str">
        <v>吃喝</v>
      </c>
      <c r="C30" t="str">
        <v>午晚餐</v>
      </c>
      <c r="E30">
        <f>32.9+54.55</f>
        <v>87.45</v>
      </c>
    </row>
    <row r="31">
      <c r="A31">
        <v>46040</v>
      </c>
      <c r="B31" t="str">
        <v>吃喝</v>
      </c>
      <c r="C31" t="str">
        <v>霸王茶姬</v>
      </c>
      <c r="D31">
        <v>36260</v>
      </c>
      <c r="E31">
        <f>D31*0.00042</f>
        <v>15.2292</v>
      </c>
    </row>
    <row r="32">
      <c r="A32">
        <v>46041</v>
      </c>
      <c r="B32" t="str">
        <v>交通</v>
      </c>
      <c r="C32" t="str">
        <v>上下班</v>
      </c>
      <c r="D32">
        <f>37000+29400</f>
        <v>66400</v>
      </c>
      <c r="E32">
        <f>D32*0.00042</f>
        <v>27.888</v>
      </c>
    </row>
    <row r="33">
      <c r="A33">
        <v>46041</v>
      </c>
      <c r="B33" t="str">
        <v>吃喝</v>
      </c>
      <c r="C33" t="str">
        <v>午餐</v>
      </c>
      <c r="D33">
        <v>78000</v>
      </c>
      <c r="E33">
        <f>D33*0.00042</f>
        <v>32.76</v>
      </c>
    </row>
    <row r="34">
      <c r="A34">
        <v>46041</v>
      </c>
      <c r="B34" t="str">
        <v>吃喝</v>
      </c>
      <c r="C34" t="str">
        <v>晚餐</v>
      </c>
      <c r="E34">
        <v>72</v>
      </c>
    </row>
    <row r="35">
      <c r="A35">
        <v>46042</v>
      </c>
      <c r="B35" t="str">
        <v>吃喝</v>
      </c>
      <c r="C35" t="str">
        <v>超市</v>
      </c>
      <c r="E35">
        <v>63.58</v>
      </c>
    </row>
    <row r="36">
      <c r="A36">
        <v>46042</v>
      </c>
      <c r="B36" t="str">
        <v>居住费</v>
      </c>
      <c r="C36" t="str">
        <v>煤气+打扫卫生</v>
      </c>
      <c r="D36">
        <f>250000+80000</f>
        <v>330000</v>
      </c>
      <c r="E36">
        <f>D36*0.00042</f>
        <v>138.6</v>
      </c>
    </row>
    <row r="37">
      <c r="A37">
        <v>46042</v>
      </c>
      <c r="B37" t="str">
        <v>吃喝</v>
      </c>
      <c r="C37" t="str">
        <v>牛肉</v>
      </c>
      <c r="D37">
        <v>96800</v>
      </c>
      <c r="E37">
        <f>D37*0.00042</f>
        <v>40.656</v>
      </c>
    </row>
    <row r="38">
      <c r="A38">
        <v>46043</v>
      </c>
      <c r="B38" t="str">
        <v>交通</v>
      </c>
      <c r="C38" t="str">
        <v>上班</v>
      </c>
      <c r="D38">
        <v>59700</v>
      </c>
      <c r="E38">
        <f>D38*0.00042</f>
        <v>25.074</v>
      </c>
    </row>
    <row r="39">
      <c r="A39">
        <v>46043</v>
      </c>
      <c r="B39" t="str">
        <v>吃喝</v>
      </c>
      <c r="C39" t="str">
        <v>午餐晚餐</v>
      </c>
      <c r="E39">
        <f>100+51</f>
        <v>151</v>
      </c>
    </row>
    <row r="40">
      <c r="A40">
        <v>46044</v>
      </c>
      <c r="B40" t="str">
        <v>吃喝</v>
      </c>
      <c r="C40" t="str">
        <v>咖啡+午晚餐</v>
      </c>
      <c r="E40">
        <f>49.46+24.94+22.45</f>
        <v>96.85</v>
      </c>
    </row>
    <row r="41">
      <c r="A41">
        <v>46044</v>
      </c>
      <c r="B41" t="str">
        <v>交通</v>
      </c>
      <c r="C41" t="str">
        <v>上下班</v>
      </c>
      <c r="D41">
        <f>222000+85500</f>
        <v>307500</v>
      </c>
      <c r="E41">
        <f>D41*0.00042</f>
        <v>129.15</v>
      </c>
    </row>
    <row r="42">
      <c r="A42">
        <v>46045</v>
      </c>
      <c r="B42" t="str">
        <v>日用品</v>
      </c>
      <c r="C42" t="str">
        <v>miniso</v>
      </c>
      <c r="E42">
        <v>22.86</v>
      </c>
    </row>
    <row r="43">
      <c r="A43">
        <v>46045</v>
      </c>
      <c r="B43" t="str">
        <v>吃喝</v>
      </c>
      <c r="C43" t="str">
        <v>午餐</v>
      </c>
      <c r="E43">
        <v>44.46</v>
      </c>
    </row>
    <row r="44">
      <c r="A44">
        <v>46045</v>
      </c>
      <c r="B44" t="str">
        <v>吃喝</v>
      </c>
      <c r="C44" t="str">
        <v>霸王茶姬</v>
      </c>
      <c r="D44">
        <v>49000</v>
      </c>
      <c r="E44">
        <f>D44*0.00042</f>
        <v>20.58</v>
      </c>
    </row>
    <row r="45">
      <c r="A45">
        <v>46045</v>
      </c>
      <c r="B45" t="str">
        <v>交通</v>
      </c>
      <c r="C45" t="str">
        <v>上下班</v>
      </c>
      <c r="D45">
        <f>28300+22700+93200+71100</f>
        <v>215300</v>
      </c>
      <c r="E45">
        <f>D45*0.00042</f>
        <v>90.426</v>
      </c>
    </row>
    <row r="46">
      <c r="A46">
        <v>46046</v>
      </c>
      <c r="B46" t="str">
        <v>吃喝</v>
      </c>
      <c r="C46" t="str">
        <v>超市+咖啡+午餐</v>
      </c>
      <c r="E46">
        <f>8.72+40.39+22.95</f>
        <v>72.06</v>
      </c>
    </row>
    <row r="47">
      <c r="A47">
        <v>46046</v>
      </c>
      <c r="B47" t="str">
        <v>吃喝</v>
      </c>
      <c r="C47" t="str">
        <v>晚餐</v>
      </c>
      <c r="D47">
        <v>574900</v>
      </c>
      <c r="E47">
        <f>D47*0.00042</f>
        <v>241.458</v>
      </c>
    </row>
    <row r="48">
      <c r="A48">
        <v>46047</v>
      </c>
      <c r="B48" t="str">
        <v>交通</v>
      </c>
      <c r="C48" t="str">
        <v>上下班</v>
      </c>
      <c r="D48">
        <f>23700+194700+189500+22700</f>
        <v>430600</v>
      </c>
      <c r="E48">
        <f>D48*0.00042</f>
        <v>180.852</v>
      </c>
    </row>
    <row r="49">
      <c r="A49">
        <v>46047</v>
      </c>
      <c r="B49" t="str">
        <v>吃喝</v>
      </c>
      <c r="C49" t="str">
        <v>午餐晚餐</v>
      </c>
      <c r="E49">
        <f>17.44+32.96+21.2</f>
        <v>71.6</v>
      </c>
    </row>
    <row r="50">
      <c r="A50">
        <v>46047</v>
      </c>
      <c r="B50" t="str">
        <v>吃喝</v>
      </c>
      <c r="C50" t="str">
        <v>霸王茶姬</v>
      </c>
      <c r="D50">
        <v>42000</v>
      </c>
      <c r="E50">
        <f>D50*0.00042</f>
        <v>17.64</v>
      </c>
    </row>
    <row r="51">
      <c r="A51">
        <v>46047</v>
      </c>
      <c r="B51" t="str">
        <v>交通</v>
      </c>
      <c r="C51" t="str">
        <v>高速费</v>
      </c>
      <c r="D51">
        <v>100000</v>
      </c>
      <c r="E51">
        <f>D51*0.00042</f>
        <v>42</v>
      </c>
    </row>
    <row r="52">
      <c r="A52">
        <v>46048</v>
      </c>
      <c r="B52" t="str">
        <v>吃喝</v>
      </c>
      <c r="C52" t="str">
        <v>超市</v>
      </c>
      <c r="E52">
        <v>95.93</v>
      </c>
    </row>
    <row r="53">
      <c r="A53">
        <v>46049</v>
      </c>
      <c r="B53" t="str">
        <v>吃喝</v>
      </c>
      <c r="C53" t="str">
        <v>午餐晚餐</v>
      </c>
      <c r="E53">
        <v>112</v>
      </c>
    </row>
    <row r="54">
      <c r="A54">
        <v>46049</v>
      </c>
      <c r="B54" t="str">
        <v>交通</v>
      </c>
      <c r="E54">
        <v>16</v>
      </c>
    </row>
    <row r="55">
      <c r="A55">
        <v>46049</v>
      </c>
      <c r="B55" t="str">
        <v>学习/充值付费</v>
      </c>
      <c r="E55">
        <v>140</v>
      </c>
    </row>
    <row r="56">
      <c r="A56">
        <v>46050</v>
      </c>
      <c r="B56" t="str">
        <v>交通</v>
      </c>
      <c r="E56">
        <v>35</v>
      </c>
    </row>
    <row r="57">
      <c r="A57">
        <v>46050</v>
      </c>
      <c r="B57" t="str">
        <v>吃喝</v>
      </c>
      <c r="E57">
        <v>55</v>
      </c>
    </row>
    <row r="58">
      <c r="A58">
        <v>46051</v>
      </c>
      <c r="B58" t="str">
        <v>吃喝</v>
      </c>
      <c r="E58">
        <f>60.75+16.29+41.99</f>
        <v>119.03</v>
      </c>
    </row>
    <row r="59">
      <c r="A59">
        <v>46051</v>
      </c>
      <c r="B59" t="str">
        <v>吃喝</v>
      </c>
      <c r="D59">
        <v>30689</v>
      </c>
      <c r="E59">
        <f>D59*0.00042</f>
        <v>12.88938</v>
      </c>
    </row>
    <row r="60">
      <c r="A60">
        <v>46051</v>
      </c>
      <c r="B60" t="str">
        <v>交通</v>
      </c>
      <c r="D60">
        <f>151400+199300</f>
        <v>350700</v>
      </c>
      <c r="E60">
        <f>D60*0.00042</f>
        <v>147.294</v>
      </c>
    </row>
    <row r="61">
      <c r="A61">
        <v>46052</v>
      </c>
      <c r="B61" t="str">
        <v>吃喝</v>
      </c>
      <c r="C61" t="str">
        <v>午餐晚餐+星巴克</v>
      </c>
      <c r="E61">
        <f>39.03+36.35+42.62+25.49</f>
        <v>143.49</v>
      </c>
    </row>
    <row r="62">
      <c r="A62">
        <v>46053</v>
      </c>
      <c r="B62" t="str">
        <v>吃喝</v>
      </c>
      <c r="C62" t="str">
        <v>午餐晚餐+星巴克</v>
      </c>
      <c r="E62">
        <f>42.49+30.5+40.53+43.87+40.11</f>
        <v>197.5</v>
      </c>
    </row>
  </sheetData>
  <mergeCells count="1">
    <mergeCell ref="G1:H1"/>
  </mergeCells>
  <pageMargins left="0.75" right="0.75" top="1" bottom="1" header="0.5" footer="0.5"/>
  <ignoredErrors>
    <ignoredError numberStoredAsText="1" sqref="A1:M16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3"/>
  <sheetViews>
    <sheetView workbookViewId="0" rightToLeft="0"/>
  </sheetViews>
  <sheetData>
    <row r="1">
      <c r="A1" t="str">
        <v>日期</v>
      </c>
      <c r="B1" t="str">
        <v>分类</v>
      </c>
      <c r="C1" t="str">
        <v>明细</v>
      </c>
      <c r="D1" t="str">
        <v>金额</v>
      </c>
      <c r="E1" t="str">
        <v>大额支出</v>
      </c>
      <c r="G1" t="str">
        <v>当日合计</v>
      </c>
      <c r="J1" t="str">
        <v>日均销</v>
      </c>
    </row>
    <row r="2">
      <c r="B2" t="str">
        <v>旅游</v>
      </c>
      <c r="C2" t="str">
        <v>元旦雅加达</v>
      </c>
      <c r="D2">
        <f>2157+40+33.34+23.63+63.3+28.86+63.3</f>
        <v>2409.43</v>
      </c>
      <c r="E2">
        <v>46023</v>
      </c>
      <c r="G2">
        <v>46023</v>
      </c>
      <c r="H2">
        <f>SUMIFS(D:D,A:A,G2)</f>
        <v>45.29</v>
      </c>
      <c r="J2">
        <f>AVERAGEIF(H:H,"&gt;0",H:H)</f>
        <v>190.81724137931</v>
      </c>
    </row>
    <row r="3">
      <c r="A3">
        <v>46024</v>
      </c>
      <c r="B3" t="str">
        <v>水电煤</v>
      </c>
      <c r="C3" t="str">
        <v>电费</v>
      </c>
      <c r="D3">
        <v>165.3</v>
      </c>
      <c r="G3">
        <v>46024</v>
      </c>
      <c r="H3">
        <f>SUMIFS(D:D,A:A,G3)</f>
        <v>165.3</v>
      </c>
    </row>
    <row r="4">
      <c r="A4">
        <v>46025</v>
      </c>
      <c r="B4" t="str">
        <v>吃喝</v>
      </c>
      <c r="C4" t="str">
        <v>胡玉美</v>
      </c>
      <c r="D4">
        <f>18.9+27.9+46.4</f>
        <v>93.2</v>
      </c>
      <c r="G4">
        <v>46025</v>
      </c>
      <c r="H4">
        <f>SUMIFS(D:D,A:A,G4)</f>
        <v>122.2</v>
      </c>
    </row>
    <row r="5">
      <c r="B5" t="str">
        <v>化妆护肤</v>
      </c>
      <c r="C5" t="str">
        <v>SK2</v>
      </c>
      <c r="D5">
        <v>2000</v>
      </c>
      <c r="E5">
        <v>46026</v>
      </c>
      <c r="G5">
        <v>46026</v>
      </c>
      <c r="H5">
        <f>SUMIFS(D:D,A:A,G5)</f>
        <v>960.42</v>
      </c>
    </row>
    <row r="6">
      <c r="A6">
        <v>46026</v>
      </c>
      <c r="B6" t="str">
        <v>吃喝</v>
      </c>
      <c r="C6" t="str">
        <v>manner</v>
      </c>
      <c r="D6">
        <v>35</v>
      </c>
      <c r="G6">
        <v>46027</v>
      </c>
      <c r="H6">
        <f>SUMIFS(D:D,A:A,G6)</f>
        <v>423.97</v>
      </c>
    </row>
    <row r="7">
      <c r="A7">
        <v>46026</v>
      </c>
      <c r="B7" t="str">
        <v>交通</v>
      </c>
      <c r="C7" t="str">
        <v>打车</v>
      </c>
      <c r="D7">
        <v>85.72</v>
      </c>
      <c r="G7">
        <v>46028</v>
      </c>
      <c r="H7">
        <f>SUMIFS(D:D,A:A,G7)</f>
        <v>24</v>
      </c>
    </row>
    <row r="8">
      <c r="A8">
        <v>46026</v>
      </c>
      <c r="B8" t="str">
        <v>吃喝</v>
      </c>
      <c r="C8" t="str">
        <v>涮羊肉</v>
      </c>
      <c r="D8">
        <f>138+39</f>
        <v>177</v>
      </c>
      <c r="G8">
        <v>46029</v>
      </c>
      <c r="H8">
        <f>SUMIFS(D:D,A:A,G8)</f>
        <v>123</v>
      </c>
    </row>
    <row r="9">
      <c r="A9">
        <v>46026</v>
      </c>
      <c r="B9" t="str">
        <v>交通</v>
      </c>
      <c r="C9" t="str">
        <v>打车</v>
      </c>
      <c r="D9">
        <v>29.37</v>
      </c>
      <c r="G9">
        <v>46030</v>
      </c>
      <c r="H9">
        <f>SUMIFS(D:D,A:A,G9)</f>
        <v>10.9</v>
      </c>
    </row>
    <row r="10">
      <c r="A10">
        <v>46026</v>
      </c>
      <c r="B10" t="str">
        <v>休闲娱乐</v>
      </c>
      <c r="C10" t="str">
        <v>圆明园</v>
      </c>
      <c r="D10">
        <v>168</v>
      </c>
      <c r="G10">
        <v>46031</v>
      </c>
      <c r="H10">
        <f>SUMIFS(D:D,A:A,G10)</f>
        <v>586.6</v>
      </c>
    </row>
    <row r="11">
      <c r="A11">
        <v>46026</v>
      </c>
      <c r="B11" t="str">
        <v>吃喝</v>
      </c>
      <c r="D11">
        <f>12.46+88</f>
        <v>100.46</v>
      </c>
      <c r="G11">
        <v>46032</v>
      </c>
      <c r="H11">
        <f>SUMIFS(D:D,A:A,G11)</f>
        <v>184.34</v>
      </c>
    </row>
    <row r="12">
      <c r="A12">
        <v>46026</v>
      </c>
      <c r="B12" t="str">
        <v>交通</v>
      </c>
      <c r="C12" t="str">
        <v>打车</v>
      </c>
      <c r="D12">
        <v>22.87</v>
      </c>
      <c r="G12">
        <v>46033</v>
      </c>
      <c r="H12">
        <f>SUMIFS(D:D,A:A,G12)</f>
        <v>70.1</v>
      </c>
    </row>
    <row r="13">
      <c r="A13">
        <v>46027</v>
      </c>
      <c r="B13" t="str">
        <v>吃喝</v>
      </c>
      <c r="C13" t="str">
        <v>早餐</v>
      </c>
      <c r="D13">
        <f>7.9+34.98</f>
        <v>42.88</v>
      </c>
      <c r="G13">
        <v>46034</v>
      </c>
      <c r="H13">
        <f>SUMIFS(D:D,A:A,G13)</f>
        <v>56.12</v>
      </c>
    </row>
    <row r="14">
      <c r="A14">
        <v>46027</v>
      </c>
      <c r="B14" t="str">
        <v>交通</v>
      </c>
      <c r="D14">
        <f>32.5+16.23+19.36</f>
        <v>68.09</v>
      </c>
      <c r="G14">
        <v>46035</v>
      </c>
      <c r="H14">
        <f>SUMIFS(D:D,A:A,G14)</f>
        <v>136.97</v>
      </c>
    </row>
    <row r="15">
      <c r="A15">
        <v>46027</v>
      </c>
      <c r="B15" t="str">
        <v>吃喝</v>
      </c>
      <c r="C15" t="str">
        <v>JX来买吃的</v>
      </c>
      <c r="D15">
        <f>25+15+273</f>
        <v>313</v>
      </c>
      <c r="G15">
        <v>46036</v>
      </c>
      <c r="H15">
        <f>SUMIFS(D:D,A:A,G15)</f>
        <v>33</v>
      </c>
    </row>
    <row r="16">
      <c r="B16" t="str">
        <v>旅游</v>
      </c>
      <c r="C16" t="str">
        <v>过年去雅加达</v>
      </c>
      <c r="D16">
        <v>4562</v>
      </c>
      <c r="E16">
        <v>46028</v>
      </c>
      <c r="G16">
        <v>46037</v>
      </c>
      <c r="H16">
        <f>SUMIFS(D:D,A:A,G16)</f>
        <v>0</v>
      </c>
    </row>
    <row r="17">
      <c r="A17">
        <v>46029</v>
      </c>
      <c r="B17" t="str">
        <v>吃喝</v>
      </c>
      <c r="C17" t="str">
        <v>88VIP</v>
      </c>
      <c r="D17">
        <v>88</v>
      </c>
      <c r="G17">
        <v>46038</v>
      </c>
      <c r="H17">
        <f>SUMIFS(D:D,A:A,G17)</f>
        <v>94.14</v>
      </c>
    </row>
    <row r="18">
      <c r="A18">
        <v>46029</v>
      </c>
      <c r="B18" t="str">
        <v>吃喝</v>
      </c>
      <c r="C18" t="str">
        <v>KFC</v>
      </c>
      <c r="D18">
        <v>35</v>
      </c>
      <c r="G18">
        <v>46039</v>
      </c>
      <c r="H18">
        <f>SUMIFS(D:D,A:A,G18)</f>
        <v>264.81</v>
      </c>
    </row>
    <row r="19">
      <c r="A19">
        <v>46030</v>
      </c>
      <c r="B19" t="str">
        <v>日用品</v>
      </c>
      <c r="C19" t="str">
        <v>袜子</v>
      </c>
      <c r="D19">
        <v>10.9</v>
      </c>
      <c r="G19">
        <v>46040</v>
      </c>
      <c r="H19">
        <f>SUMIFS(D:D,A:A,G19)</f>
        <v>168.34</v>
      </c>
    </row>
    <row r="20">
      <c r="A20">
        <v>46031</v>
      </c>
      <c r="B20" t="str">
        <v>医疗</v>
      </c>
      <c r="D20">
        <v>41.3</v>
      </c>
      <c r="G20">
        <v>46041</v>
      </c>
      <c r="H20">
        <f>SUMIFS(D:D,A:A,G20)</f>
        <v>257.46</v>
      </c>
    </row>
    <row r="21">
      <c r="A21">
        <v>46031</v>
      </c>
      <c r="B21" t="str">
        <v>吃喝</v>
      </c>
      <c r="D21">
        <f>11.2+25+45.8</f>
        <v>82</v>
      </c>
      <c r="G21">
        <v>46042</v>
      </c>
      <c r="H21">
        <f>SUMIFS(D:D,A:A,G21)</f>
        <v>79.5</v>
      </c>
    </row>
    <row r="22">
      <c r="A22">
        <v>46031</v>
      </c>
      <c r="B22" t="str">
        <v>居住费</v>
      </c>
      <c r="C22" t="str">
        <v>请阿姨</v>
      </c>
      <c r="D22">
        <v>49</v>
      </c>
      <c r="G22">
        <v>46043</v>
      </c>
      <c r="H22">
        <f>SUMIFS(D:D,A:A,G22)</f>
        <v>381.99</v>
      </c>
    </row>
    <row r="23">
      <c r="A23">
        <v>46032</v>
      </c>
      <c r="B23" t="str">
        <v>吃喝</v>
      </c>
      <c r="C23" t="str">
        <v>早午饭</v>
      </c>
      <c r="D23">
        <f>12+29.9</f>
        <v>41.9</v>
      </c>
      <c r="G23">
        <v>46044</v>
      </c>
      <c r="H23">
        <f>SUMIFS(D:D,A:A,G23)</f>
        <v>24.8</v>
      </c>
    </row>
    <row r="24">
      <c r="A24">
        <v>46032</v>
      </c>
      <c r="B24" t="str">
        <v>日用品</v>
      </c>
      <c r="C24" t="str">
        <v>擦眼睛布</v>
      </c>
      <c r="D24">
        <v>8.8</v>
      </c>
      <c r="G24">
        <v>46045</v>
      </c>
      <c r="H24">
        <f>SUMIFS(D:D,A:A,G24)</f>
        <v>135.99</v>
      </c>
    </row>
    <row r="25">
      <c r="A25">
        <v>46032</v>
      </c>
      <c r="B25" t="str">
        <v>日用品</v>
      </c>
      <c r="C25" t="str">
        <v>痘痘贴</v>
      </c>
      <c r="D25">
        <v>19.14</v>
      </c>
      <c r="G25">
        <v>46046</v>
      </c>
      <c r="H25">
        <f>SUMIFS(D:D,A:A,G25)</f>
        <v>23.3</v>
      </c>
    </row>
    <row r="26">
      <c r="A26">
        <v>46032</v>
      </c>
      <c r="B26" t="str">
        <v>吃喝</v>
      </c>
      <c r="C26" t="str">
        <v>驴肉火烧</v>
      </c>
      <c r="D26">
        <v>16.7</v>
      </c>
      <c r="G26">
        <v>46047</v>
      </c>
      <c r="H26">
        <f>SUMIFS(D:D,A:A,G26)</f>
        <v>392.06</v>
      </c>
    </row>
    <row r="27">
      <c r="A27">
        <v>46032</v>
      </c>
      <c r="B27" t="str">
        <v>吃喝</v>
      </c>
      <c r="C27" t="str">
        <v>小吊梨汤</v>
      </c>
      <c r="D27">
        <v>19.3</v>
      </c>
      <c r="G27">
        <v>46048</v>
      </c>
      <c r="H27">
        <f>SUMIFS(D:D,A:A,G27)</f>
        <v>40</v>
      </c>
    </row>
    <row r="28">
      <c r="A28">
        <v>46026</v>
      </c>
      <c r="B28" t="str">
        <v>旅游</v>
      </c>
      <c r="C28" t="str">
        <v>门票</v>
      </c>
      <c r="D28">
        <v>20</v>
      </c>
      <c r="G28">
        <v>46049</v>
      </c>
      <c r="H28">
        <f>SUMIFS(D:D,A:A,G28)</f>
        <v>54.54</v>
      </c>
    </row>
    <row r="29">
      <c r="A29">
        <v>46026</v>
      </c>
      <c r="B29" t="str">
        <v>吃喝</v>
      </c>
      <c r="C29" t="str">
        <v>烧烤+新疆料理</v>
      </c>
      <c r="D29">
        <f>232+40+15+35</f>
        <v>322</v>
      </c>
      <c r="G29">
        <v>46050</v>
      </c>
      <c r="H29">
        <f>SUMIFS(D:D,A:A,G29)</f>
        <v>0</v>
      </c>
    </row>
    <row r="30">
      <c r="A30">
        <v>46028</v>
      </c>
      <c r="B30" t="str">
        <v>吃喝</v>
      </c>
      <c r="C30" t="str">
        <v>饺子</v>
      </c>
      <c r="D30">
        <v>24</v>
      </c>
      <c r="G30">
        <v>46051</v>
      </c>
      <c r="H30">
        <f>SUMIFS(D:D,A:A,G30)</f>
        <v>227.46</v>
      </c>
    </row>
    <row r="31">
      <c r="A31">
        <v>46032</v>
      </c>
      <c r="B31" t="str">
        <v>吃喝</v>
      </c>
      <c r="C31" t="str">
        <v>聚餐</v>
      </c>
      <c r="D31">
        <v>78.5</v>
      </c>
      <c r="G31">
        <v>46052</v>
      </c>
      <c r="H31">
        <f>SUMIFS(D:D,A:A,G31)</f>
        <v>395.6</v>
      </c>
    </row>
    <row r="32">
      <c r="A32">
        <v>46023</v>
      </c>
      <c r="B32" t="str">
        <v>保险</v>
      </c>
      <c r="C32" t="str">
        <v>好医保</v>
      </c>
      <c r="D32">
        <v>45.29</v>
      </c>
      <c r="G32">
        <v>46053</v>
      </c>
      <c r="H32">
        <f>SUMIFS(D:D,A:A,G32)</f>
        <v>51.5</v>
      </c>
    </row>
    <row r="33">
      <c r="A33">
        <v>46031</v>
      </c>
      <c r="B33" t="str">
        <v>学习</v>
      </c>
      <c r="C33" t="str">
        <v>VPN</v>
      </c>
      <c r="D33">
        <v>184.8</v>
      </c>
    </row>
    <row r="34">
      <c r="A34">
        <v>46031</v>
      </c>
      <c r="B34" t="str">
        <v>话费</v>
      </c>
      <c r="D34">
        <v>99.5</v>
      </c>
    </row>
    <row r="35">
      <c r="A35">
        <v>46031</v>
      </c>
      <c r="B35" t="str">
        <v>学习</v>
      </c>
      <c r="C35" t="str">
        <v>印象笔记会员</v>
      </c>
      <c r="D35">
        <v>20</v>
      </c>
    </row>
    <row r="36">
      <c r="A36">
        <v>46031</v>
      </c>
      <c r="B36" t="str">
        <v>数码家电</v>
      </c>
      <c r="C36" t="str">
        <v>路由器</v>
      </c>
      <c r="D36">
        <v>110</v>
      </c>
    </row>
    <row r="37">
      <c r="A37">
        <v>46025</v>
      </c>
      <c r="B37" t="str">
        <v>学习</v>
      </c>
      <c r="C37" t="str">
        <v>买书</v>
      </c>
      <c r="D37">
        <v>29</v>
      </c>
    </row>
    <row r="38">
      <c r="A38">
        <v>46033</v>
      </c>
      <c r="B38" t="str">
        <v>吃喝</v>
      </c>
      <c r="C38" t="str">
        <v>早饭-粥</v>
      </c>
      <c r="D38">
        <v>20</v>
      </c>
    </row>
    <row r="39">
      <c r="A39">
        <v>46033</v>
      </c>
      <c r="B39" t="str">
        <v>吃喝</v>
      </c>
      <c r="C39" t="str">
        <v>烤鸭</v>
      </c>
      <c r="D39">
        <v>20.2</v>
      </c>
    </row>
    <row r="40">
      <c r="A40">
        <v>46033</v>
      </c>
      <c r="B40" t="str">
        <v>吃喝</v>
      </c>
      <c r="C40" t="str">
        <v>馄饨</v>
      </c>
      <c r="D40">
        <v>29.9</v>
      </c>
    </row>
    <row r="41">
      <c r="A41">
        <v>46034</v>
      </c>
      <c r="B41" t="str">
        <v>吃喝</v>
      </c>
      <c r="C41" t="str">
        <v>午饭-菜和饭</v>
      </c>
      <c r="D41">
        <v>27.7</v>
      </c>
    </row>
    <row r="42">
      <c r="A42">
        <v>46034</v>
      </c>
      <c r="B42" t="str">
        <v>吃喝</v>
      </c>
      <c r="C42" t="str">
        <v>牛肉面</v>
      </c>
      <c r="D42">
        <v>15.8</v>
      </c>
    </row>
    <row r="43">
      <c r="A43">
        <v>46035</v>
      </c>
      <c r="B43" t="str">
        <v>吃喝</v>
      </c>
      <c r="C43" t="str">
        <v>早饭-粥</v>
      </c>
      <c r="D43">
        <v>20.49</v>
      </c>
    </row>
    <row r="44">
      <c r="A44">
        <v>46035</v>
      </c>
      <c r="B44" t="str">
        <v>吃喝</v>
      </c>
      <c r="C44" t="str">
        <v>午饭-老乡鸡</v>
      </c>
      <c r="D44">
        <v>35.52</v>
      </c>
    </row>
    <row r="45">
      <c r="A45">
        <v>46035</v>
      </c>
      <c r="B45" t="str">
        <v>日用品</v>
      </c>
      <c r="C45" t="str">
        <v>充电头</v>
      </c>
      <c r="D45">
        <v>34.06</v>
      </c>
    </row>
    <row r="46">
      <c r="A46">
        <v>46035</v>
      </c>
      <c r="B46" t="str">
        <v>吃喝</v>
      </c>
      <c r="C46" t="str">
        <v>晚饭-生煎</v>
      </c>
      <c r="D46">
        <v>27.6</v>
      </c>
    </row>
    <row r="47">
      <c r="A47">
        <v>46035</v>
      </c>
      <c r="B47" t="str">
        <v>吃喝</v>
      </c>
      <c r="C47" t="str">
        <v>小吊梨汤</v>
      </c>
      <c r="D47">
        <v>19.3</v>
      </c>
    </row>
    <row r="48">
      <c r="A48">
        <v>46038</v>
      </c>
      <c r="B48" t="str">
        <v>吃喝</v>
      </c>
      <c r="C48" t="str">
        <v>老乡鸡</v>
      </c>
      <c r="D48">
        <v>29.34</v>
      </c>
    </row>
    <row r="49">
      <c r="A49">
        <v>46038</v>
      </c>
      <c r="B49" t="str">
        <v>水电煤</v>
      </c>
      <c r="C49" t="str">
        <v>水费</v>
      </c>
      <c r="D49">
        <v>24.3</v>
      </c>
    </row>
    <row r="50">
      <c r="A50">
        <v>46038</v>
      </c>
      <c r="B50" t="str">
        <v>吃喝</v>
      </c>
      <c r="C50" t="str">
        <v>炸串</v>
      </c>
      <c r="D50">
        <v>40.5</v>
      </c>
    </row>
    <row r="51">
      <c r="A51">
        <v>46034</v>
      </c>
      <c r="B51" t="str">
        <v>吃喝</v>
      </c>
      <c r="C51" t="str">
        <v>咖啡</v>
      </c>
      <c r="D51">
        <v>9.9</v>
      </c>
    </row>
    <row r="52">
      <c r="A52">
        <v>46034</v>
      </c>
      <c r="B52" t="str">
        <v>交通</v>
      </c>
      <c r="C52" t="str">
        <v>充电</v>
      </c>
      <c r="D52">
        <v>2.72</v>
      </c>
    </row>
    <row r="53">
      <c r="A53">
        <v>46036</v>
      </c>
      <c r="B53" t="str">
        <v>吃喝</v>
      </c>
      <c r="C53" t="str">
        <v>水饺</v>
      </c>
      <c r="D53">
        <v>33</v>
      </c>
    </row>
    <row r="54">
      <c r="A54">
        <v>46039</v>
      </c>
      <c r="B54" t="str">
        <v>吃喝</v>
      </c>
      <c r="C54" t="str">
        <v>酸奶</v>
      </c>
      <c r="D54">
        <v>25.49</v>
      </c>
    </row>
    <row r="55">
      <c r="A55">
        <v>46039</v>
      </c>
      <c r="B55" t="str">
        <v>吃喝</v>
      </c>
      <c r="C55" t="str">
        <v>鸡柳</v>
      </c>
      <c r="D55">
        <v>19.88</v>
      </c>
    </row>
    <row r="56">
      <c r="A56">
        <v>46039</v>
      </c>
      <c r="B56" t="str">
        <v>日用品</v>
      </c>
      <c r="D56">
        <f>4.51+5.47+6.96+10.66+13.97+52.65+10.33+25.66+8.84+5.79</f>
        <v>144.84</v>
      </c>
    </row>
    <row r="57">
      <c r="A57">
        <v>46040</v>
      </c>
      <c r="B57" t="str">
        <v>医疗</v>
      </c>
      <c r="C57" t="str">
        <v>心脏的药</v>
      </c>
      <c r="D57">
        <f>24+16</f>
        <v>40</v>
      </c>
    </row>
    <row r="58">
      <c r="A58">
        <v>46040</v>
      </c>
      <c r="B58" t="str">
        <v>吃喝</v>
      </c>
      <c r="C58" t="str">
        <v>盒马</v>
      </c>
      <c r="D58">
        <v>42.14</v>
      </c>
    </row>
    <row r="59">
      <c r="A59">
        <v>46040</v>
      </c>
      <c r="B59" t="str">
        <v>学习</v>
      </c>
      <c r="C59" t="str">
        <v>莱美的课</v>
      </c>
      <c r="D59">
        <v>18.8</v>
      </c>
    </row>
    <row r="60">
      <c r="A60">
        <v>46039</v>
      </c>
      <c r="B60" t="str">
        <v>吃喝</v>
      </c>
      <c r="C60" t="str">
        <v>早饭</v>
      </c>
      <c r="D60">
        <v>7.5</v>
      </c>
    </row>
    <row r="61">
      <c r="A61">
        <v>46039</v>
      </c>
      <c r="B61" t="str">
        <v>吃喝</v>
      </c>
      <c r="C61" t="str">
        <v>买菜</v>
      </c>
      <c r="D61">
        <f>7.5+6.2+3.9+20+2.3+4.8</f>
        <v>44.7</v>
      </c>
    </row>
    <row r="62">
      <c r="A62">
        <v>46039</v>
      </c>
      <c r="B62" t="str">
        <v>吃喝</v>
      </c>
      <c r="C62" t="str">
        <v>坚果</v>
      </c>
      <c r="D62">
        <v>22.4</v>
      </c>
    </row>
    <row r="63">
      <c r="A63">
        <v>46040</v>
      </c>
      <c r="B63" t="str">
        <v>吃喝</v>
      </c>
      <c r="C63" t="str">
        <v>杨枝甘露</v>
      </c>
      <c r="D63">
        <v>45</v>
      </c>
    </row>
    <row r="64">
      <c r="A64">
        <v>46041</v>
      </c>
      <c r="B64" t="str">
        <v>水电煤</v>
      </c>
      <c r="C64" t="str">
        <v>煤气费</v>
      </c>
      <c r="D64">
        <v>33</v>
      </c>
    </row>
    <row r="65">
      <c r="A65">
        <v>46042</v>
      </c>
      <c r="B65" t="str">
        <v>社交送礼</v>
      </c>
      <c r="C65" t="str">
        <v>星巴克</v>
      </c>
      <c r="D65">
        <v>79.5</v>
      </c>
    </row>
    <row r="66">
      <c r="A66">
        <v>46043</v>
      </c>
      <c r="B66" t="str">
        <v>日用品</v>
      </c>
      <c r="C66" t="str">
        <v>眼镜布</v>
      </c>
      <c r="D66">
        <v>8.8</v>
      </c>
    </row>
    <row r="67">
      <c r="A67">
        <v>46043</v>
      </c>
      <c r="B67" t="str">
        <v>水电煤</v>
      </c>
      <c r="C67" t="str">
        <v>电费</v>
      </c>
      <c r="D67">
        <v>100</v>
      </c>
    </row>
    <row r="68">
      <c r="A68">
        <v>46044</v>
      </c>
      <c r="B68" t="str">
        <v>吃喝</v>
      </c>
      <c r="C68" t="str">
        <v>黄芥末</v>
      </c>
      <c r="D68">
        <v>24.8</v>
      </c>
    </row>
    <row r="69">
      <c r="A69">
        <v>46045</v>
      </c>
      <c r="B69" t="str">
        <v>吃喝</v>
      </c>
      <c r="C69" t="str">
        <v>梨子</v>
      </c>
      <c r="D69">
        <v>19.59</v>
      </c>
    </row>
    <row r="70">
      <c r="A70">
        <v>46046</v>
      </c>
      <c r="B70" t="str">
        <v>吃喝</v>
      </c>
      <c r="C70" t="str">
        <v>热卤</v>
      </c>
      <c r="D70">
        <v>23.3</v>
      </c>
    </row>
    <row r="71">
      <c r="A71">
        <v>46047</v>
      </c>
      <c r="B71" t="str">
        <v>吃喝</v>
      </c>
      <c r="C71" t="str">
        <v>团购</v>
      </c>
      <c r="D71">
        <v>78</v>
      </c>
    </row>
    <row r="72">
      <c r="A72">
        <v>46040</v>
      </c>
      <c r="B72" t="str">
        <v>吃喝</v>
      </c>
      <c r="C72" t="str">
        <v>坚果</v>
      </c>
      <c r="D72">
        <v>22.4</v>
      </c>
    </row>
    <row r="73">
      <c r="A73">
        <v>46041</v>
      </c>
      <c r="B73" t="str">
        <v>吃喝</v>
      </c>
      <c r="D73">
        <v>24.46</v>
      </c>
    </row>
    <row r="74">
      <c r="A74">
        <v>46041</v>
      </c>
      <c r="B74" t="str">
        <v>吃喝</v>
      </c>
      <c r="C74" t="str">
        <v>食堂</v>
      </c>
      <c r="D74">
        <v>200</v>
      </c>
    </row>
    <row r="75">
      <c r="A75">
        <v>46043</v>
      </c>
      <c r="B75" t="str">
        <v>吃喝</v>
      </c>
      <c r="C75" t="str">
        <v>咖啡</v>
      </c>
      <c r="D75">
        <v>9.9</v>
      </c>
    </row>
    <row r="76">
      <c r="A76">
        <v>46043</v>
      </c>
      <c r="B76" t="str">
        <v>交通</v>
      </c>
      <c r="C76" t="str">
        <v>充电费</v>
      </c>
      <c r="D76">
        <v>3.29</v>
      </c>
    </row>
    <row r="77">
      <c r="A77">
        <v>46043</v>
      </c>
      <c r="B77" t="str">
        <v>吃喝</v>
      </c>
      <c r="C77" t="str">
        <v>山姆会员费</v>
      </c>
      <c r="D77">
        <v>260</v>
      </c>
    </row>
    <row r="78">
      <c r="A78">
        <v>46045</v>
      </c>
      <c r="B78" t="str">
        <v>社交送礼</v>
      </c>
      <c r="C78" t="str">
        <v>海底捞</v>
      </c>
      <c r="D78">
        <v>116.4</v>
      </c>
    </row>
    <row r="79">
      <c r="A79">
        <v>46047</v>
      </c>
      <c r="B79" t="str">
        <v>吃喝</v>
      </c>
      <c r="C79" t="str">
        <v>周末买菜</v>
      </c>
      <c r="D79">
        <f>82.21+231.85</f>
        <v>314.06</v>
      </c>
    </row>
    <row r="80">
      <c r="A80">
        <v>46048</v>
      </c>
      <c r="B80" t="str">
        <v>吃喝</v>
      </c>
      <c r="C80" t="str">
        <v>JX奶茶</v>
      </c>
      <c r="D80">
        <v>40</v>
      </c>
    </row>
    <row r="81">
      <c r="A81">
        <v>46051</v>
      </c>
      <c r="B81" t="str">
        <v>衣服</v>
      </c>
      <c r="C81" t="str">
        <v>JX睡衣</v>
      </c>
      <c r="D81">
        <v>110</v>
      </c>
    </row>
    <row r="82">
      <c r="A82">
        <v>46049</v>
      </c>
      <c r="B82" t="str">
        <v>社交送礼</v>
      </c>
      <c r="D82">
        <v>21.8</v>
      </c>
    </row>
    <row r="83">
      <c r="A83">
        <v>46049</v>
      </c>
      <c r="B83" t="str">
        <v>交通</v>
      </c>
      <c r="C83" t="str">
        <v>打车</v>
      </c>
      <c r="D83">
        <v>15.6</v>
      </c>
    </row>
    <row r="84">
      <c r="A84">
        <v>46051</v>
      </c>
      <c r="B84" t="str">
        <v>日用品</v>
      </c>
      <c r="C84" t="str">
        <v>牙刷头</v>
      </c>
      <c r="D84">
        <v>33.9</v>
      </c>
    </row>
    <row r="85">
      <c r="A85">
        <v>46051</v>
      </c>
      <c r="B85" t="str">
        <v>吃喝</v>
      </c>
      <c r="C85" t="str">
        <v>零食</v>
      </c>
      <c r="D85">
        <v>3.08</v>
      </c>
    </row>
    <row r="86">
      <c r="A86">
        <v>46049</v>
      </c>
      <c r="B86" t="str">
        <v>交通</v>
      </c>
      <c r="C86" t="str">
        <v>打车</v>
      </c>
      <c r="D86">
        <v>17.14</v>
      </c>
    </row>
    <row r="87">
      <c r="A87">
        <v>46052</v>
      </c>
      <c r="B87" t="str">
        <v>日用品</v>
      </c>
      <c r="C87" t="str">
        <v>洗衣片</v>
      </c>
      <c r="D87">
        <v>13.9</v>
      </c>
    </row>
    <row r="88">
      <c r="B88" t="str">
        <v>旅游</v>
      </c>
      <c r="C88" t="str">
        <v>印尼电话卡</v>
      </c>
      <c r="D88">
        <v>81.9</v>
      </c>
      <c r="E88">
        <v>46052</v>
      </c>
    </row>
    <row r="89">
      <c r="A89">
        <v>46052</v>
      </c>
      <c r="B89" t="str">
        <v>看剧</v>
      </c>
      <c r="C89" t="str">
        <v>牡丹亭</v>
      </c>
      <c r="D89">
        <v>180</v>
      </c>
    </row>
    <row r="90">
      <c r="B90" t="str">
        <v>交通</v>
      </c>
      <c r="C90" t="str">
        <v>回家票</v>
      </c>
      <c r="D90">
        <v>538</v>
      </c>
      <c r="E90">
        <v>46052</v>
      </c>
    </row>
    <row r="91">
      <c r="B91" t="str">
        <v>旅游</v>
      </c>
      <c r="C91" t="str">
        <v>JX票</v>
      </c>
      <c r="D91">
        <v>697</v>
      </c>
      <c r="E91">
        <v>46052</v>
      </c>
    </row>
    <row r="92">
      <c r="A92">
        <v>46052</v>
      </c>
      <c r="B92" t="str">
        <v>交通</v>
      </c>
      <c r="C92" t="str">
        <v>打车</v>
      </c>
      <c r="D92">
        <v>33.7</v>
      </c>
    </row>
    <row r="93">
      <c r="A93">
        <v>46052</v>
      </c>
      <c r="B93" t="str">
        <v>吃喝</v>
      </c>
      <c r="C93" t="str">
        <v>咖啡</v>
      </c>
      <c r="D93">
        <v>30</v>
      </c>
    </row>
    <row r="94">
      <c r="A94">
        <v>46052</v>
      </c>
      <c r="B94" t="str">
        <v>社交送礼</v>
      </c>
      <c r="C94" t="str">
        <v>泡汤</v>
      </c>
      <c r="D94">
        <v>75</v>
      </c>
    </row>
    <row r="95">
      <c r="A95">
        <v>46052</v>
      </c>
      <c r="B95" t="str">
        <v>吃喝</v>
      </c>
      <c r="C95" t="str">
        <v>晚饭-生煎</v>
      </c>
      <c r="D95">
        <v>26</v>
      </c>
    </row>
    <row r="96">
      <c r="A96">
        <v>46052</v>
      </c>
      <c r="B96" t="str">
        <v>交通</v>
      </c>
      <c r="C96" t="str">
        <v>打车</v>
      </c>
      <c r="D96">
        <v>29.5</v>
      </c>
    </row>
    <row r="97">
      <c r="A97">
        <v>46052</v>
      </c>
      <c r="B97" t="str">
        <v>交通</v>
      </c>
      <c r="C97" t="str">
        <v>地铁</v>
      </c>
      <c r="D97">
        <f>5+2.5</f>
        <v>7.5</v>
      </c>
    </row>
    <row r="98">
      <c r="A98">
        <v>46051</v>
      </c>
      <c r="B98" t="str">
        <v>社交送礼</v>
      </c>
      <c r="C98" t="str">
        <v>请和喜茶</v>
      </c>
      <c r="D98">
        <v>41.48</v>
      </c>
    </row>
    <row r="99">
      <c r="A99">
        <v>46051</v>
      </c>
      <c r="B99" t="str">
        <v>吃喝</v>
      </c>
      <c r="D99">
        <v>39</v>
      </c>
    </row>
    <row r="100">
      <c r="A100">
        <v>46053</v>
      </c>
      <c r="B100" t="str">
        <v>吃喝</v>
      </c>
      <c r="C100" t="str">
        <v>鸡蛋和水</v>
      </c>
      <c r="D100">
        <v>45.5</v>
      </c>
    </row>
    <row r="101">
      <c r="A101">
        <v>46053</v>
      </c>
      <c r="B101" t="str">
        <v>吃喝</v>
      </c>
      <c r="C101" t="str">
        <v>饮料</v>
      </c>
      <c r="D101">
        <v>6</v>
      </c>
    </row>
    <row r="102">
      <c r="B102" t="str">
        <v>旅游</v>
      </c>
      <c r="C102" t="str">
        <v>科莫多酒店</v>
      </c>
      <c r="D102">
        <v>4088.62</v>
      </c>
      <c r="E102">
        <v>46052</v>
      </c>
    </row>
    <row r="103">
      <c r="B103" t="str">
        <v>旅游</v>
      </c>
      <c r="C103" t="str">
        <v>科莫多接机</v>
      </c>
      <c r="D103">
        <v>53.52</v>
      </c>
      <c r="E103">
        <v>46053</v>
      </c>
    </row>
  </sheetData>
  <mergeCells count="1">
    <mergeCell ref="G1:H1"/>
  </mergeCells>
  <pageMargins left="0.75" right="0.75" top="1" bottom="1" header="0.5" footer="0.5"/>
  <ignoredErrors>
    <ignoredError numberStoredAsText="1" sqref="A1:J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月度预算</vt:lpstr>
      <vt:lpstr>JX 2月生活流水</vt:lpstr>
      <vt:lpstr>J3 2月</vt:lpstr>
      <vt:lpstr>季度预算 </vt:lpstr>
      <vt:lpstr>JX 1.11-31生活流水</vt:lpstr>
      <vt:lpstr>J3 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2026-02-15T17:00:11Z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F207B9B49B35C9771B8B916947DFCEDD_41</vt:lpwstr>
  </property>
  <property fmtid="{D5CDD505-2E9C-101B-9397-08002B2CF9AE}" pid="3" name="KSOProductBuildVer">
    <vt:lpwstr>2052-12.9.0.25295</vt:lpwstr>
  </property>
  <property fmtid="{D5CDD505-2E9C-101B-9397-08002B2CF9AE}" pid="4" name="CalculationRule">
    <vt:i4>1</vt:i4>
  </property>
  <property fmtid="{D5CDD505-2E9C-101B-9397-08002B2CF9AE}" pid="5" name="CWMbf1088400a4c11f180004d0100004d01">
    <vt:lpwstr>CWM2D9nnxBP7rr+P4+dJztUPwxwBDjHQdRLA6YVuWLINVNtLxnhXYaXn2hDLMSAseHl1d4p+MyUmmwcjsV/lQL6+w==</vt:lpwstr>
  </property>
  <property fmtid="{D5CDD505-2E9C-101B-9397-08002B2CF9AE}" pid="6" name="fileWhereFroms">
    <vt:lpwstr>PpjeLB1gRN0lwrPqMaCTkkYVpYRdpVndnGEQ/kRdJ8PwaAUJtE1yhs15vXkm8AsuF455wOEACyLYDqO5mxXi2JiduYWLcJpQzfU7EXRlV/aL1Kex5PfDuKQOg5o6epUREaktsU1bM8rQzY/XPtED43e9aLBbwoOCEpkJzsBpPwK6zeGHU95VXq53by7W7Df88+FrJPjiaVom+wf1TT5mMyTXt0YPqg/Fz59CAEZXohs=</vt:lpwstr>
  </property>
</Properties>
</file>